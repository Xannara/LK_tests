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ЭтаКнига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C:\Users\kiunikolaeva\Desktop\"/>
    </mc:Choice>
  </mc:AlternateContent>
  <bookViews>
    <workbookView xWindow="0" yWindow="0" windowWidth="19605" windowHeight="7410" tabRatio="317"/>
  </bookViews>
  <sheets>
    <sheet name="Анкета" sheetId="1" r:id="rId1"/>
    <sheet name="source_main" sheetId="3" state="hidden" r:id="rId2"/>
    <sheet name="source_proxy" sheetId="4" state="hidden" r:id="rId3"/>
    <sheet name="ServiceSheet" sheetId="5" state="hidden" r:id="rId4"/>
    <sheet name="DB" sheetId="2" state="hidden" r:id="rId5"/>
  </sheets>
  <externalReferences>
    <externalReference r:id="rId6"/>
  </externalReferences>
  <definedNames>
    <definedName name="Benef1_1_Range" localSheetId="2">source_proxy!$A$244:$BW$268</definedName>
    <definedName name="Benef1_2_Range" localSheetId="2">source_proxy!$A$303:$BW$327</definedName>
    <definedName name="Benef1_3_Range" localSheetId="2">source_proxy!$A$362:$BW$386</definedName>
    <definedName name="Benef1_4_Range" localSheetId="2">source_proxy!$A$421:$BW$445</definedName>
    <definedName name="Benef1_Range" localSheetId="2">source_proxy!$A$7:$BW$31</definedName>
    <definedName name="Benef2_Range" localSheetId="2">source_proxy!$A$67:$BW$91</definedName>
    <definedName name="Benef3_Range" localSheetId="2">source_proxy!$A$126:$BW$150</definedName>
    <definedName name="Benef4_Range" localSheetId="2">source_proxy!$A$185:$BW$209</definedName>
    <definedName name="CI_Range" localSheetId="1">source_main!$A$90:$BW$154</definedName>
    <definedName name="ctznsh_b1_col" localSheetId="3">ServiceSheet!$B$41</definedName>
    <definedName name="ctznsh_b1_row" localSheetId="3">ServiceSheet!$D$41</definedName>
    <definedName name="ctznsh_b2_col" localSheetId="3">ServiceSheet!$B$74</definedName>
    <definedName name="ctznsh_b2_row" localSheetId="3">ServiceSheet!$D$74</definedName>
    <definedName name="ctznsh_b3_col" localSheetId="3">ServiceSheet!$B$107</definedName>
    <definedName name="ctznsh_b3_row" localSheetId="3">ServiceSheet!$D$107</definedName>
    <definedName name="ctznsh_b4_col" localSheetId="3">ServiceSheet!$B$140</definedName>
    <definedName name="ctznsh_b4_row" localSheetId="3">ServiceSheet!$D$140</definedName>
    <definedName name="ctznsh_b5_col" localSheetId="3">ServiceSheet!$B$141</definedName>
    <definedName name="ctznsh_b5_row" localSheetId="3">ServiceSheet!$D$141</definedName>
    <definedName name="Document_Range" localSheetId="1">source_main!$A$34:$BW$54</definedName>
    <definedName name="FBenef1_1_Range" localSheetId="2">source_proxy!$A$269:$BW$302</definedName>
    <definedName name="FBenef1_2_Range" localSheetId="2">source_proxy!$A$328:$BW$361</definedName>
    <definedName name="FBenef1_3_Range" localSheetId="2">source_proxy!$A$387:$BW$420</definedName>
    <definedName name="FBenef1_4_Range" localSheetId="2">source_proxy!$A$446:$BW$479</definedName>
    <definedName name="FBenef1_Range" localSheetId="2">source_proxy!$A$32:$BW$66</definedName>
    <definedName name="FBenef2_Range" localSheetId="2">source_proxy!$A$92:$BW$125</definedName>
    <definedName name="FBenef3_Range" localSheetId="1">source_main!#REF!</definedName>
    <definedName name="FBenef3_Range" localSheetId="2">source_proxy!$A$151:$BW$184</definedName>
    <definedName name="FBenef4_Range" localSheetId="1">source_main!#REF!</definedName>
    <definedName name="FBenef4_Range" localSheetId="2">source_proxy!$A$210:$BW$243</definedName>
    <definedName name="FBenef5_Range" localSheetId="1">source_main!#REF!</definedName>
    <definedName name="FDocument_Range" localSheetId="1">source_main!$A$55:$BW$89</definedName>
    <definedName name="is_bv_col" localSheetId="3">ServiceSheet!$B$36</definedName>
    <definedName name="is_bv_row" localSheetId="3">ServiceSheet!$D$36</definedName>
    <definedName name="offset_FBenef1" localSheetId="3">ServiceSheet!$I$2</definedName>
    <definedName name="offset_FBenef2" localSheetId="3">ServiceSheet!$J$2</definedName>
    <definedName name="offset_FBenef3" localSheetId="3">ServiceSheet!$K$2</definedName>
    <definedName name="offset_FBenef4" localSheetId="3">ServiceSheet!$L$2</definedName>
    <definedName name="offset_FBenef5" localSheetId="3">ServiceSheet!$M$2</definedName>
    <definedName name="offset_FBenef6" localSheetId="3">ServiceSheet!$N$2</definedName>
    <definedName name="offset_fdocument" localSheetId="3">ServiceSheet!$H$2</definedName>
    <definedName name="offset_fio" localSheetId="3">ServiceSheet!$G$2</definedName>
    <definedName name="PastFIO" localSheetId="1">source_main!$A$22:$BW$33</definedName>
    <definedName name="q_bv_col" localSheetId="3">ServiceSheet!$B$35</definedName>
    <definedName name="q_bv_row" localSheetId="3">ServiceSheet!$D$35</definedName>
    <definedName name="start_string" localSheetId="3">ServiceSheet!$E$2</definedName>
    <definedName name="_xlnm.Print_Area" localSheetId="0">Анкета!$A$1:$BH$111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1" i="5" l="1"/>
  <c r="D140" i="5"/>
  <c r="D139" i="5" l="1"/>
  <c r="D138" i="5"/>
  <c r="D137" i="5"/>
  <c r="D136" i="5"/>
  <c r="D116" i="5" l="1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09" i="5"/>
  <c r="D110" i="5"/>
  <c r="D111" i="5"/>
  <c r="D112" i="5"/>
  <c r="D113" i="5"/>
  <c r="D114" i="5"/>
  <c r="D115" i="5"/>
  <c r="D108" i="5"/>
  <c r="D104" i="5"/>
  <c r="D105" i="5"/>
  <c r="D106" i="5"/>
  <c r="D103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75" i="5"/>
  <c r="D71" i="5"/>
  <c r="D72" i="5"/>
  <c r="D73" i="5"/>
  <c r="D70" i="5"/>
  <c r="D51" i="5" l="1"/>
  <c r="D52" i="5"/>
  <c r="D53" i="5"/>
  <c r="D54" i="5"/>
  <c r="D55" i="5"/>
  <c r="D56" i="5"/>
  <c r="D57" i="5"/>
  <c r="D58" i="5"/>
  <c r="D59" i="5"/>
  <c r="D60" i="5"/>
  <c r="D61" i="5"/>
  <c r="D62" i="5"/>
  <c r="D63" i="5"/>
  <c r="D50" i="5"/>
  <c r="D65" i="5"/>
  <c r="D66" i="5"/>
  <c r="D67" i="5"/>
  <c r="D68" i="5"/>
  <c r="D69" i="5"/>
  <c r="D64" i="5"/>
  <c r="D43" i="5"/>
  <c r="D44" i="5"/>
  <c r="D45" i="5"/>
  <c r="D46" i="5"/>
  <c r="D47" i="5"/>
  <c r="D48" i="5"/>
  <c r="D49" i="5"/>
  <c r="D42" i="5"/>
  <c r="D38" i="5"/>
  <c r="D39" i="5"/>
  <c r="D40" i="5"/>
  <c r="D37" i="5"/>
  <c r="D30" i="5"/>
  <c r="D31" i="5"/>
  <c r="D32" i="5"/>
  <c r="D33" i="5"/>
  <c r="D34" i="5"/>
  <c r="D29" i="5"/>
  <c r="D14" i="5"/>
  <c r="D9" i="5"/>
  <c r="D10" i="5"/>
  <c r="D11" i="5"/>
  <c r="D12" i="5"/>
  <c r="D13" i="5"/>
  <c r="D8" i="5"/>
  <c r="D107" i="5" l="1"/>
  <c r="D74" i="5" l="1"/>
  <c r="D41" i="5"/>
  <c r="D36" i="5"/>
  <c r="D35" i="5"/>
  <c r="D16" i="5" l="1"/>
  <c r="D17" i="5"/>
  <c r="D18" i="5"/>
  <c r="D19" i="5"/>
  <c r="D20" i="5"/>
  <c r="D21" i="5"/>
  <c r="D22" i="5"/>
  <c r="D23" i="5"/>
  <c r="D24" i="5"/>
  <c r="D25" i="5"/>
  <c r="D26" i="5"/>
  <c r="D27" i="5"/>
  <c r="D28" i="5"/>
  <c r="D15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<sst xmlns="http://schemas.openxmlformats.org/spreadsheetml/2006/main" count="721" uniqueCount="370">
  <si>
    <t>1.1. Фамилия</t>
  </si>
  <si>
    <t>1.5. Место рождения</t>
  </si>
  <si>
    <t>1.2. Имя</t>
  </si>
  <si>
    <t>1.3. Отчество</t>
  </si>
  <si>
    <t>1.4. Дата рождения</t>
  </si>
  <si>
    <t>1.6. СНИЛС</t>
  </si>
  <si>
    <t>1.7. Гражданство</t>
  </si>
  <si>
    <t>РФ</t>
  </si>
  <si>
    <t>Иностранный гражданин</t>
  </si>
  <si>
    <t>ГРАЖДАНСТВО:</t>
  </si>
  <si>
    <t xml:space="preserve">Выбрать </t>
  </si>
  <si>
    <t>Да</t>
  </si>
  <si>
    <t>Нет</t>
  </si>
  <si>
    <t>1.1.1. Фамилия</t>
  </si>
  <si>
    <t>1.1.2. Имя</t>
  </si>
  <si>
    <t>1.1.3. Отчество</t>
  </si>
  <si>
    <t>1.1.4. Год изменения</t>
  </si>
  <si>
    <t>Сведения о ранее выданном паспорте</t>
  </si>
  <si>
    <t>Вид на жительство</t>
  </si>
  <si>
    <t>Разрешение на временное проживание</t>
  </si>
  <si>
    <t>Виза</t>
  </si>
  <si>
    <t>Иной документ</t>
  </si>
  <si>
    <t>нужное отметить знаком - X</t>
  </si>
  <si>
    <t>2.1.1. Серия документа (если имеется)</t>
  </si>
  <si>
    <t>2.1.2. Номер документа</t>
  </si>
  <si>
    <t>2.1.4. Кем выдан</t>
  </si>
  <si>
    <t>2.1.5. Код подразделения</t>
  </si>
  <si>
    <t>2.1.6. Дата начала срока действия права пребывания (проживания)</t>
  </si>
  <si>
    <t>2.2.1. Номер карты</t>
  </si>
  <si>
    <t>2.2.2. Дата начала срока пребывания</t>
  </si>
  <si>
    <t>2.2.3. Дата окончания срока пребывания</t>
  </si>
  <si>
    <t>Паспорт</t>
  </si>
  <si>
    <t>ФИО:</t>
  </si>
  <si>
    <t>ПДЛ:</t>
  </si>
  <si>
    <t>БВ:</t>
  </si>
  <si>
    <t>(дата заполнения: число, месяц, год)</t>
  </si>
  <si>
    <t>(подпись заявителя)</t>
  </si>
  <si>
    <t>(полностью ФИО заявителя)</t>
  </si>
  <si>
    <t>Адрес постоянной регистрации</t>
  </si>
  <si>
    <t>5.1. Фамилия</t>
  </si>
  <si>
    <t>5.2. Дата рождения</t>
  </si>
  <si>
    <t>5.3. Гражданство</t>
  </si>
  <si>
    <t>5.4. Имя</t>
  </si>
  <si>
    <t>5.5. Место рождения</t>
  </si>
  <si>
    <t>5.6. Отчество</t>
  </si>
  <si>
    <t>5.7. Является ли публичным должностным лицом?</t>
  </si>
  <si>
    <t>Выбрать</t>
  </si>
  <si>
    <t>5.1.1. Серия документа (если имеется)</t>
  </si>
  <si>
    <t>5.1.2. Номер документа</t>
  </si>
  <si>
    <t>5.1.3. Дата выдачи</t>
  </si>
  <si>
    <t>5.1.4. Кем выдан</t>
  </si>
  <si>
    <t>5.1.5. Код подразделения</t>
  </si>
  <si>
    <t>5.1.6. Дата начала срока действия права пребывания (проживания)</t>
  </si>
  <si>
    <t>5.2.1. Номер карты</t>
  </si>
  <si>
    <t>5.2.2. Дата начала срока пребывания</t>
  </si>
  <si>
    <t>5.2.3. Дата окончания срока пребывания</t>
  </si>
  <si>
    <t>6.1. Фамилия</t>
  </si>
  <si>
    <t>6.2. Дата рождения</t>
  </si>
  <si>
    <t>6.3. Гражданство</t>
  </si>
  <si>
    <t>6.4. Имя</t>
  </si>
  <si>
    <t>6.5. Место рождения</t>
  </si>
  <si>
    <t>6.6. Отчество</t>
  </si>
  <si>
    <t>6.7. Является ли публичным должностным лицом?</t>
  </si>
  <si>
    <t>6.1.1. Серия документа (если имеется)</t>
  </si>
  <si>
    <t>6.1.2. Номер документа</t>
  </si>
  <si>
    <t>6.1.3. Дата выдачи</t>
  </si>
  <si>
    <t>6.1.4. Кем выдан</t>
  </si>
  <si>
    <t>6.1.5. Код подразделения</t>
  </si>
  <si>
    <t>6.1.6. Дата начала срока действия права пребывания (проживания)</t>
  </si>
  <si>
    <t>6.2.1. Номер карты</t>
  </si>
  <si>
    <t>6.2.2. Дата начала срока пребывания</t>
  </si>
  <si>
    <t>6.2.3. Дата окончания срока пребывания</t>
  </si>
  <si>
    <t>7.1. Фамилия</t>
  </si>
  <si>
    <t>7.2. Дата рождения</t>
  </si>
  <si>
    <t>7.3. Гражданство</t>
  </si>
  <si>
    <t>7.4. Имя</t>
  </si>
  <si>
    <t>7.5. Место рождения</t>
  </si>
  <si>
    <t>7.6. Отчество</t>
  </si>
  <si>
    <t>7.7. Является ли публичным должностным лицом?</t>
  </si>
  <si>
    <t>7.1.1. Серия документа (если имеется)</t>
  </si>
  <si>
    <t>7.1.2. Номер документа</t>
  </si>
  <si>
    <t>7.1.3. Дата выдачи</t>
  </si>
  <si>
    <t>7.1.4. Кем выдан</t>
  </si>
  <si>
    <t>7.1.5. Код подразделения</t>
  </si>
  <si>
    <t>7.1.6. Дата начала срока действия права пребывания (проживания)</t>
  </si>
  <si>
    <t>7.2.1. Номер карты</t>
  </si>
  <si>
    <t>7.2.2. Дата начала срока пребывания</t>
  </si>
  <si>
    <t>7.2.3. Дата окончания срока пребывания</t>
  </si>
  <si>
    <t xml:space="preserve">  2.1.3. Дата выдачи</t>
  </si>
  <si>
    <t>2.1.7. Дата окончания срока действия права пребывания (проживания)</t>
  </si>
  <si>
    <t>5.1.7. Дата окончания срока действия права пребывания (проживания)</t>
  </si>
  <si>
    <t>6.1.7. Дата окончания срока действия права пребывания (проживания)</t>
  </si>
  <si>
    <t>7.1.7. Дата окончания срока действия права пребывания (проживания)</t>
  </si>
  <si>
    <t>Имя</t>
  </si>
  <si>
    <t>Колонка</t>
  </si>
  <si>
    <t>Строка</t>
  </si>
  <si>
    <t>Строка_Со_Смещением</t>
  </si>
  <si>
    <t>Фамилия_1</t>
  </si>
  <si>
    <t>I</t>
  </si>
  <si>
    <t>Имя_1</t>
  </si>
  <si>
    <t>Отчество_1</t>
  </si>
  <si>
    <t>ДатаРождения_1</t>
  </si>
  <si>
    <t>Q</t>
  </si>
  <si>
    <t>Гражданство_1</t>
  </si>
  <si>
    <t>AW</t>
  </si>
  <si>
    <t>МестоРождения_1</t>
  </si>
  <si>
    <t>AL</t>
  </si>
  <si>
    <t>Документ_1</t>
  </si>
  <si>
    <t>Серия_1</t>
  </si>
  <si>
    <t>AA</t>
  </si>
  <si>
    <t>Номер_1</t>
  </si>
  <si>
    <t>КогдаВыдан_1</t>
  </si>
  <si>
    <t>AY</t>
  </si>
  <si>
    <t>КодПодразделения_1</t>
  </si>
  <si>
    <t>КемВыдан_1</t>
  </si>
  <si>
    <t>ЭтоПубличноеЛицо_1</t>
  </si>
  <si>
    <t>И_ВидНаЖительство_1</t>
  </si>
  <si>
    <t>J</t>
  </si>
  <si>
    <t>И_РазрешениеНаВременноеПроживание_1</t>
  </si>
  <si>
    <t>W</t>
  </si>
  <si>
    <t>И_Виза_1</t>
  </si>
  <si>
    <t>AP</t>
  </si>
  <si>
    <t>И_ИнойДокумент_1</t>
  </si>
  <si>
    <t>BA</t>
  </si>
  <si>
    <t>И_СерияДокумента_1</t>
  </si>
  <si>
    <t>P</t>
  </si>
  <si>
    <t>И_НомерДокумента_1</t>
  </si>
  <si>
    <t>AD</t>
  </si>
  <si>
    <t>И_ДатаВыдачи_1</t>
  </si>
  <si>
    <t>И_КемВыдан_1</t>
  </si>
  <si>
    <t>И_КодПодразделения_1</t>
  </si>
  <si>
    <t>И_ДатаНачала_1</t>
  </si>
  <si>
    <t>AC</t>
  </si>
  <si>
    <t>И_ДатаОкончания_1</t>
  </si>
  <si>
    <t>МК_Номер_1</t>
  </si>
  <si>
    <t>МК_ДатаНачала_1</t>
  </si>
  <si>
    <t>МК_ДатаОкончания_1</t>
  </si>
  <si>
    <t>Республика_1</t>
  </si>
  <si>
    <t>Улица_1</t>
  </si>
  <si>
    <t>Город_1</t>
  </si>
  <si>
    <t>Дом_1</t>
  </si>
  <si>
    <t>Корпус_1</t>
  </si>
  <si>
    <t>Квартира_1</t>
  </si>
  <si>
    <t>Фамилия_2</t>
  </si>
  <si>
    <t>Имя_2</t>
  </si>
  <si>
    <t>Отчество_2</t>
  </si>
  <si>
    <t>ДатаРождения_2</t>
  </si>
  <si>
    <t>Гражданство_2</t>
  </si>
  <si>
    <t>МестоРождения_2</t>
  </si>
  <si>
    <t>Документ_2</t>
  </si>
  <si>
    <t>Серия_2</t>
  </si>
  <si>
    <t>Номер_2</t>
  </si>
  <si>
    <t>КогдаВыдан_2</t>
  </si>
  <si>
    <t>КодПодразделения_2</t>
  </si>
  <si>
    <t>КемВыдан_2</t>
  </si>
  <si>
    <t>ЭтоПубличноеЛицо_2</t>
  </si>
  <si>
    <t>И_ВидНаЖительство_2</t>
  </si>
  <si>
    <t>И_РазрешениеНаВременноеПроживание_2</t>
  </si>
  <si>
    <t>И_Виза_2</t>
  </si>
  <si>
    <t>И_ИнойДокумент_2</t>
  </si>
  <si>
    <t>И_СерияДокумента_2</t>
  </si>
  <si>
    <t>И_НомерДокумента_2</t>
  </si>
  <si>
    <t>И_ДатаВыдачи_2</t>
  </si>
  <si>
    <t>И_КемВыдан_2</t>
  </si>
  <si>
    <t>И_КодПодразделения_2</t>
  </si>
  <si>
    <t>И_ДатаНачала_2</t>
  </si>
  <si>
    <t>И_ДатаОкончания_2</t>
  </si>
  <si>
    <t>МК_Номер_2</t>
  </si>
  <si>
    <t>МК_ДатаНачала_2</t>
  </si>
  <si>
    <t>МК_ДатаОкончания_2</t>
  </si>
  <si>
    <t>Республика_2</t>
  </si>
  <si>
    <t>Улица_2</t>
  </si>
  <si>
    <t>Город_2</t>
  </si>
  <si>
    <t>Дом_2</t>
  </si>
  <si>
    <t>Корпус_2</t>
  </si>
  <si>
    <t>Квартира_2</t>
  </si>
  <si>
    <t>Фамилия_3</t>
  </si>
  <si>
    <t>Имя_3</t>
  </si>
  <si>
    <t>Отчество_3</t>
  </si>
  <si>
    <t>ДатаРождения_3</t>
  </si>
  <si>
    <t>Гражданство_3</t>
  </si>
  <si>
    <t>МестоРождения_3</t>
  </si>
  <si>
    <t>Документ_3</t>
  </si>
  <si>
    <t>Серия_3</t>
  </si>
  <si>
    <t>Номер_3</t>
  </si>
  <si>
    <t>КогдаВыдан_3</t>
  </si>
  <si>
    <t>КодПодразделения_3</t>
  </si>
  <si>
    <t>КемВыдан_3</t>
  </si>
  <si>
    <t>ЭтоПубличноеЛицо_3</t>
  </si>
  <si>
    <t>И_ВидНаЖительство_3</t>
  </si>
  <si>
    <t>И_РазрешениеНаВременноеПроживание_3</t>
  </si>
  <si>
    <t>И_Виза_3</t>
  </si>
  <si>
    <t>И_ИнойДокумент_3</t>
  </si>
  <si>
    <t>И_СерияДокумента_3</t>
  </si>
  <si>
    <t>И_НомерДокумента_3</t>
  </si>
  <si>
    <t>И_ДатаВыдачи_3</t>
  </si>
  <si>
    <t>И_КемВыдан_3</t>
  </si>
  <si>
    <t>И_КодПодразделения_3</t>
  </si>
  <si>
    <t>И_ДатаНачала_3</t>
  </si>
  <si>
    <t>И_ДатаОкончания_3</t>
  </si>
  <si>
    <t>МК_Номер_3</t>
  </si>
  <si>
    <t>МК_ДатаНачала_3</t>
  </si>
  <si>
    <t>МК_ДатаОкончания_3</t>
  </si>
  <si>
    <t>Республика_3</t>
  </si>
  <si>
    <t>Улица_3</t>
  </si>
  <si>
    <t>Город_3</t>
  </si>
  <si>
    <t>Дом_3</t>
  </si>
  <si>
    <t>Корпус_3</t>
  </si>
  <si>
    <t>Квартира_3</t>
  </si>
  <si>
    <t>Фамилия_4</t>
  </si>
  <si>
    <t>Имя_4</t>
  </si>
  <si>
    <t>Отчество_4</t>
  </si>
  <si>
    <t>ДатаРождения_4</t>
  </si>
  <si>
    <t>Гражданство_4</t>
  </si>
  <si>
    <t>МестоРождения_4</t>
  </si>
  <si>
    <t>Документ_4</t>
  </si>
  <si>
    <t>Серия_4</t>
  </si>
  <si>
    <t>Номер_4</t>
  </si>
  <si>
    <t>КогдаВыдан_4</t>
  </si>
  <si>
    <t>КодПодразделения_4</t>
  </si>
  <si>
    <t>КемВыдан_4</t>
  </si>
  <si>
    <t>ЭтоПубличноеЛицо_4</t>
  </si>
  <si>
    <t>И_ВидНаЖительство_4</t>
  </si>
  <si>
    <t>И_РазрешениеНаВременноеПроживание_4</t>
  </si>
  <si>
    <t>И_Виза_4</t>
  </si>
  <si>
    <t>И_ИнойДокумент_4</t>
  </si>
  <si>
    <t>И_СерияДокумента_4</t>
  </si>
  <si>
    <t>И_НомерДокумента_4</t>
  </si>
  <si>
    <t>И_ДатаВыдачи_4</t>
  </si>
  <si>
    <t>И_КемВыдан_4</t>
  </si>
  <si>
    <t>И_КодПодразделения_4</t>
  </si>
  <si>
    <t>И_ДатаНачала_4</t>
  </si>
  <si>
    <t>И_ДатаОкончания_4</t>
  </si>
  <si>
    <t>МК_Номер_4</t>
  </si>
  <si>
    <t>МК_ДатаНачала_4</t>
  </si>
  <si>
    <t>МК_ДатаОкончания_4</t>
  </si>
  <si>
    <t>Республика_4</t>
  </si>
  <si>
    <t>Улица_4</t>
  </si>
  <si>
    <t>Город_4</t>
  </si>
  <si>
    <t>Дом_4</t>
  </si>
  <si>
    <t>Корпус_4</t>
  </si>
  <si>
    <t>Квартира_4</t>
  </si>
  <si>
    <t>offset_fio</t>
  </si>
  <si>
    <t>start_string</t>
  </si>
  <si>
    <t>offset_fdocument</t>
  </si>
  <si>
    <t>КоличествоБенефициаров</t>
  </si>
  <si>
    <t>СоставительБенефициар</t>
  </si>
  <si>
    <t>offset_FBenef1</t>
  </si>
  <si>
    <t>offset_FBenef2</t>
  </si>
  <si>
    <t>L</t>
  </si>
  <si>
    <t>AM</t>
  </si>
  <si>
    <t>AK</t>
  </si>
  <si>
    <t>AT</t>
  </si>
  <si>
    <t>BC</t>
  </si>
  <si>
    <t>V</t>
  </si>
  <si>
    <t>AO</t>
  </si>
  <si>
    <t>AZ</t>
  </si>
  <si>
    <t>Z</t>
  </si>
  <si>
    <t>AJ</t>
  </si>
  <si>
    <t>5.8. ИНН</t>
  </si>
  <si>
    <t>6.8. ИНН</t>
  </si>
  <si>
    <t>7.8. ИНН</t>
  </si>
  <si>
    <t>5.9. Документ:</t>
  </si>
  <si>
    <t>5.11. Номер</t>
  </si>
  <si>
    <t>5.12. Когда выдан</t>
  </si>
  <si>
    <t>5.14. Код подразделения</t>
  </si>
  <si>
    <t>5.15. Республика / область / край</t>
  </si>
  <si>
    <t>5.16. Город / населенный пункт (название)</t>
  </si>
  <si>
    <t>5.17. Улица</t>
  </si>
  <si>
    <t>5.18. Дом</t>
  </si>
  <si>
    <t>5.19. Корпус / строение</t>
  </si>
  <si>
    <t>5.20. Квартира</t>
  </si>
  <si>
    <t>6.9. Документ:</t>
  </si>
  <si>
    <t>6.10. Серия</t>
  </si>
  <si>
    <t>6.11. Номер</t>
  </si>
  <si>
    <t>6.12. Когда выдан</t>
  </si>
  <si>
    <t>6.13. Кем выдан</t>
  </si>
  <si>
    <t>6.14. Код подразделения</t>
  </si>
  <si>
    <t>6.15. Республика / область / край</t>
  </si>
  <si>
    <t>6.16. Город / населенный пункт (название)</t>
  </si>
  <si>
    <t>6.17. Улица</t>
  </si>
  <si>
    <t>6.18. Дом</t>
  </si>
  <si>
    <t>6.19. Корпус / строение</t>
  </si>
  <si>
    <t>6.20. Квартира</t>
  </si>
  <si>
    <t>7.9. Документ:</t>
  </si>
  <si>
    <t>7.10. Серия</t>
  </si>
  <si>
    <t>7.11. Номер</t>
  </si>
  <si>
    <t>7.12. Когда выдан</t>
  </si>
  <si>
    <t>7.13. Кем выдан</t>
  </si>
  <si>
    <t>7.14. Код подразделения</t>
  </si>
  <si>
    <t>7.15. Республика / область / край</t>
  </si>
  <si>
    <t>7.17. Улица</t>
  </si>
  <si>
    <t>7.18. Дом</t>
  </si>
  <si>
    <t>7.19. Корпус / строение</t>
  </si>
  <si>
    <t>7.20. Квартира</t>
  </si>
  <si>
    <t>5.10. Серия</t>
  </si>
  <si>
    <t>5.13. Кем выдан</t>
  </si>
  <si>
    <t>ИНН_1</t>
  </si>
  <si>
    <t>ИНН_2</t>
  </si>
  <si>
    <t>ИНН_3</t>
  </si>
  <si>
    <t>ИНН_4</t>
  </si>
  <si>
    <t>BB</t>
  </si>
  <si>
    <t>8.1. Фамилия</t>
  </si>
  <si>
    <t>8.2. Дата рождения</t>
  </si>
  <si>
    <t>8.3. Гражданство</t>
  </si>
  <si>
    <t>8.4. Имя</t>
  </si>
  <si>
    <t>8.5. Место рождения</t>
  </si>
  <si>
    <t>8.6. Отчество</t>
  </si>
  <si>
    <t>8.8. ИНН</t>
  </si>
  <si>
    <t>8.9. Документ:</t>
  </si>
  <si>
    <t>8.10. Серия</t>
  </si>
  <si>
    <t>8.11. Номер</t>
  </si>
  <si>
    <t>8.12. Когда выдан</t>
  </si>
  <si>
    <t>8.13. Кем выдан</t>
  </si>
  <si>
    <t>8.14. Код подразделения</t>
  </si>
  <si>
    <t>8.15. Республика / область / край</t>
  </si>
  <si>
    <t>8.19. Корпус / строение</t>
  </si>
  <si>
    <t>8.18. Дом</t>
  </si>
  <si>
    <t>8.20. Квартира</t>
  </si>
  <si>
    <t>8.1.1. Серия документа (если имеется)</t>
  </si>
  <si>
    <t>8.1.2. Номер документа</t>
  </si>
  <si>
    <t>8.1.3. Дата выдачи</t>
  </si>
  <si>
    <t>8.1.4. Кем выдан</t>
  </si>
  <si>
    <t>8.1.5. Код подразделения</t>
  </si>
  <si>
    <t>8.1.6. Дата начала срока действия права пребывания (проживания)</t>
  </si>
  <si>
    <t>8.2.1. Номер карты</t>
  </si>
  <si>
    <t>8.2.2. Дата начала срока пребывания</t>
  </si>
  <si>
    <t>8.2.3. Дата окончания срока пребывания</t>
  </si>
  <si>
    <t>8.1.7. Дата окончания срока действия права пребывания (проживания)</t>
  </si>
  <si>
    <t>8.7. Является ли публичным должностным лицом?</t>
  </si>
  <si>
    <t>7.17. Город / населенный пункт (название)</t>
  </si>
  <si>
    <t>8.18. Город / населенный пункт (название)</t>
  </si>
  <si>
    <t>8.17. Улица</t>
  </si>
  <si>
    <t>offset_FBenef3</t>
  </si>
  <si>
    <t>offset_FBenef4</t>
  </si>
  <si>
    <t>offset_FBenef5</t>
  </si>
  <si>
    <t>Гражданство_5</t>
  </si>
  <si>
    <t>Гражданство_6</t>
  </si>
  <si>
    <t>2.1. Являетесь ли Вы публичным должностным лицом?</t>
  </si>
  <si>
    <t>1.7. Фамилия, имя, отчество изменялись?</t>
  </si>
  <si>
    <t>1.8. Пол</t>
  </si>
  <si>
    <t>Пол:</t>
  </si>
  <si>
    <t>Муж.</t>
  </si>
  <si>
    <t>Жен.</t>
  </si>
  <si>
    <t>2.2. ИНН</t>
  </si>
  <si>
    <t>2.3. Документ 1:</t>
  </si>
  <si>
    <t>2.4. Серия</t>
  </si>
  <si>
    <t>2.5. Номер</t>
  </si>
  <si>
    <t>2.6. Когда выдан</t>
  </si>
  <si>
    <t>2.7. Кем выдан</t>
  </si>
  <si>
    <t>2.8. Код 
подразделения</t>
  </si>
  <si>
    <t>2.9. Документ 2:</t>
  </si>
  <si>
    <t>2.10. Серия</t>
  </si>
  <si>
    <t>2.11. Номер</t>
  </si>
  <si>
    <t>2.12. Когда
 выдан</t>
  </si>
  <si>
    <t>Город / населенный пункт (название)</t>
  </si>
  <si>
    <t>Республика / область / край</t>
  </si>
  <si>
    <t>Корпус / строение</t>
  </si>
  <si>
    <t>Улица</t>
  </si>
  <si>
    <t>Дом</t>
  </si>
  <si>
    <t>Квартира</t>
  </si>
  <si>
    <t>Адрес фактической регистрации</t>
  </si>
  <si>
    <t>Совпадает с адресом постоянной регистрации</t>
  </si>
  <si>
    <t>Телефон по месту регистрации</t>
  </si>
  <si>
    <t>Телефон по месту фактического проживания</t>
  </si>
  <si>
    <t>Мобильный телефон</t>
  </si>
  <si>
    <t>E-mail</t>
  </si>
  <si>
    <t>Анкета физического лица</t>
  </si>
  <si>
    <r>
      <rPr>
        <sz val="9"/>
        <color theme="1"/>
        <rFont val="Arial"/>
        <family val="2"/>
        <charset val="204"/>
      </rPr>
      <t xml:space="preserve">    Я, нижеподписавшийся, подтверждаю достоверность и полноту предоставленной в настоящей анкете информации, обязуюсь немедленно уведомить о любых изменениях данной информации. Я предоставляю Обществу с ограниченной ответственностью «Альфамобиль» (ОГРН 1157746875373, место нахождения г.Москва, ул.Большая Переяславская, д.46, стр.2, эт. 4, пом. I, к. 16-17) (далее – ООО «Альфамобиль»), Обществу с ограниченной ответственностью «Альфа-Лизинг» (ОГРН 1027739540400, место нахождения  г. Москва, ул. Переяславская Б., дом 46, строение 2, ЭТ 4 ПОМ I КОМ 15) (далее – ООО «Альфа-Лизинг») Обществу с ограниченной ответственностью «ЛК АЛ» (ОГРН 1056603482220, место нахождения  г.Екатеринбург, ул.Горького, д.17) (далее – ООО «ЛК АЛ») право на проверку достоверности представленной информации любыми способами, в том числе путем обращения к моему работодателю.
    Я даю  согласие ООО «Альфамобиль» , ООО «Альфа-Лизинг», ООО «ЛК АЛ» обрабатывать мои персональные данные, а именно: фамилию, имя, отчество, дату и место рождения, пол, место работы и должность, место жительства и почтовый адрес; телефонные номера, в том числе рабочие, адреса электронной почты, паспортные данные, а также любые иные персональные данные, полученные ООО «Альфамобиль», ООО «Альфа-Лизинг», ООО «ЛК АЛ» в указанных в настоящем согласии целях, включая сбор, запись, систематизацию, накопление, хранение, проверку, уточнение, обновление, изменение, извлечение, использование, передачу, обезличивание, опубликование, уничтожение, в соответствие с Федеральным законом № 152-ФЗ от 27.07.2016 г. «О персональных данных».
    Целями обработки персональных данных являются: определение возможности заключения договора лизинга и (или) любых иных договоров, их заключения, изменения, исполнения и прекращения, продвижения лизинговых и иных услуг посредством всех средств связи, а также для исполнения нормативно-правовых актов. Обработка персональных данных может быть осуществлена любым способом, в том числе автоматизированная и неавтоматизированная обработка. Для достижения указанных выше целей, а также в случае привлечения третьих лиц к оказанию услуг, и в случае передачи ООО «Альфамобиль», ООО «Альфа-Лизинг», ООО «ЛК АЛ» принадлежащих ему прав требования третьему лицу, ООО «Альфамобиль», ООО «Альфа-Лизинг», ООО «ЛК АЛ» вправе в необходимом объеме раскрывать информацию таким третьим лицам, их агентам и иным уполномоченным ими лицам, а также предоставлять таким лицам соответствующие документы, содержащие такую информацию.                                                                                                                                                                              Я даю  согласие ООО «Альфамобиль» , ООО «Альфа-Лизинг», ООО «ЛК АЛ»  на передачу моих персональных данных  ООО «Мэйл.Ру» (ОГРН 1027739850962, Место нахождения: 125167, г. Москва, Ленинградский проспект д.39, стр.79),ООО «Т2 Мобайл»(ОГРН 1137746610088, Место нахождения: 108811, г.Москва, поселение Московский, Киевское шоссе 22-й километр, домовладение 6, стр. 1), ПАО «ВымпелКом» (ОГРН 1027700166636, Место нахождения: 127083, г. Москва, ул. Восьмого марта, дом 10, стр. 14), ООО «М Дата» (ОГРН 1137746590288,  Место нахождения: 115280, г. Москва, ул. Ленинская Слобода, д. 19), ПАО «МегаФон» (ОГРН 1027809169585, Место нахождения: 127006, город Москва, Оружейный переулок, дом 41). Для проведения упрощенной дистанционной проверки указанной мною информации я даю  согласие ООО «Т2 Мобайл», ПАО «ВымпелКом» , ООО «М Дата», ПАО «МегаФон» на обработку сведений об оказанных данными операторами услугах связи (в том числе сведений о местонахождении абонентского оборудования при получении услуг связи, оплате оказанных услуг связи), сведений об идентификаторах абонентского оборудования, и передачу результата обработки в ООО «Альфамобиль» , ООО «Альфа-Лизинг», ООО «ЛК АЛ».
    Данное согласие на обработку персональных данных действует в течение 15 лет с даты оформления настоящей анкеты. Отзыв настоящего согласия, ранее указанного срока, оформляется путем направления заявления в простой письменной форме в адрес  ООО «Альфамобиль», ООО «Альфа-Лизинг», ООО «ЛК АЛ» не менее чем за 30 календарных дней. 
    Я даю свое согласие ООО «Альфамобиль», ООО «Альфа-Лизинг», ООО «ЛК АЛ» на получение кредитного отчета, содержащего основную часть моей кредитной истории в любом бюро кредитных историй с целью принятия решения о возможности заключения со мной или с организацией, в которой я являюсь руководителем и (или) участником/акционером, договора лизинга, договора поручительства или иного договора. Настоящее согласие на получение кредитного отчета действует в течение 6 месяцев.
    В случае заключения договора лизинга я даю свое согласие ООО «Альфамобиль» , ООО «Альфа-Лизинг», ООО «ЛК АЛ» на предоставление всей имеющейся обо мне информации, информации об исполнении ( в т.ч. о нарушениях) договора лизинга, а так же иной информации в объеме, порядке и на условиях, определенных Федеральным законом № 218-ФЗ от 30.12.2014 г. «О кредитных историях» в бюро кредитных историй, включенных в государственный реестр бюро кредитных историй.
    Я даю свое согласие на предоставление ООО «Альфамобиль» , ООО «Альфа-Лизинг», ООО «ЛК АЛ» всей имеющейся обо мне информации, включая персональные данные, информацию о существенных условиях, заключенных с ООО «Альфамобиль», ООО «Альфа-Лизинг», ООО «ЛК АЛ» договорах, платежной дисциплине по указанным договорам, сроках и порядке платежей, размере задолженности в АО «Альфа-Банк» (ОГРН 1027700067328, Место нахождения: 107078, г. Москва, ул. Каланчевская, д.27).
    Я выражаю согласие на получение информации, направляемой ООО «Альфамобиль», ООО «Альфа-Лизинг», ООО «ЛК АЛ», а также другими лицами, имеющими действующий договор с ООО «Альфамобиль», ООО «Альфа-Лизинг», ООО «ЛК АЛ» посредством уведомлений на мобильный телефон и электронную почту, указанные в настоящей анкете.</t>
    </r>
    <r>
      <rPr>
        <sz val="11"/>
        <color theme="1"/>
        <rFont val="Arial"/>
        <family val="2"/>
        <charset val="204"/>
      </rPr>
      <t xml:space="preserve">
</t>
    </r>
  </si>
  <si>
    <r>
      <rPr>
        <sz val="9"/>
        <color theme="1"/>
        <rFont val="Arial"/>
        <family val="2"/>
        <charset val="204"/>
      </rPr>
      <t xml:space="preserve">    Я, нижеподписавшийся, подтверждаю достоверность и полноту предоставленной в настоящей анкете информации, обязуюсь немедленно уведомить о любых изменениях данной информации. Я предоставляю Обществу с ограниченной ответственностью «Альфамобиль» (ОГРН 1157746875373, место нахождения г.Москва, ул.Большая Переяславская, д.46, стр.2, эт. 4, пом. I, к. 16-17) (далее – ООО «Альфамобиль»), Обществу с ограниченной ответственностью «Альфа-Лизинг» (ОГРН 1027739540400, место нахождения  г. Москва, ул. Переяславская Б., дом 46, строение 2, ЭТ 4 ПОМ I КОМ 15) (далее – ООО «Альфа-Лизинг») Обществу с ограниченной ответственностью «ЛК АЛ» (ОГРН 1056603482220, место нахождения  г.Екатеринбург, ул.Горького, д.17) (далее – ООО «ЛК АЛ») право на проверку достоверности представленной информации любыми способами, в том числе путем обращения к моему работодателю.
    Я даю  согласие ООО «Альфамобиль» , ООО «Альфа-Лизинг», ООО «ЛК АЛ» обрабатывать мои персональные данные, а именно: фамилию, имя, отчество, дату и место рождения, пол, место работы и должность, место жительства и почтовый адрес; телефонные номера, в том числе рабочие, адреса электронной почты, паспортные данные, а также любые иные персональные данные, полученные ООО «Альфамобиль», ООО «Альфа-Лизинг», ООО «ЛК АЛ» в указанных в настоящем согласии целях, включая сбор, запись, систематизацию, накопление, хранение, проверку, уточнение, обновление, изменение, извлечение, использование, передачу, обезличивание, опубликование, уничтожение, в соответствие с Федеральным законом № 152-ФЗ от 27.07.2016 г. «О персональных данных».
    Целями обработки персональных данных являются: определение возможности заключения договора лизинга и (или) любых иных договоров, их заключения, изменения, исполнения и прекращения, продвижения лизинговых и иных услуг посредством всех средств связи, а также для исполнения нормативно-правовых актов. Обработка персональных данных может быть осуществлена любым способом, в том числе автоматизированная и неавтоматизированная обработка. Для достижения указанных выше целей, а также в случае привлечения третьих лиц к оказанию услуг, и в случае передачи ООО «Альфамобиль», ООО «Альфа-Лизинг», ООО «ЛК АЛ» принадлежащих ему прав требования третьему лицу, ООО «Альфамобиль», ООО «Альфа-Лизинг», ООО «ЛК АЛ» вправе в необходимом объеме раскрывать информацию таким третьим лицам, их агентам и иным уполномоченным ими лицам, а также предоставлять таким лицам соответствующие документы, содержащие такую информацию. </t>
    </r>
    <r>
      <rPr>
        <sz val="9"/>
        <rFont val="Arial"/>
        <family val="2"/>
        <charset val="204"/>
      </rPr>
      <t>Я даю  согласие ООО «Альфамобиль» , ООО «Альфа-Лизинг», ООО «ЛК АЛ»  на передачу моих персональных данных  ООО «Мэйл.Ру» (ОГРН 1027739850962, Место нахождения: 125167, г. Москва, Ленинградский проспект д.39, стр.79), ПАО «МегаФон» (ОГРН 1027809169585, Место нахождения: 127006, город Москва, Оружейный переулок, дом 41). Для проведения упрощенной дистанционной проверки указанной мною информации я даю  согласие ПАО «МегаФон» на обработку сведений об оказанных данными операторами услугах связи (в том числе сведений о местонахождении абонентского оборудования при получении услуг связи, оплате оказанных услуг связи), сведений об идентификаторах абонентского оборудования, и передачу результата обработки в ООО «Альфамобиль» , ООО «Альфа-Лизинг», ООО «ЛК АЛ».</t>
    </r>
    <r>
      <rPr>
        <sz val="9"/>
        <color theme="1"/>
        <rFont val="Arial"/>
        <family val="2"/>
        <charset val="204"/>
      </rPr>
      <t xml:space="preserve">
    Данное согласие на обработку персональных данных действует в течение 15 лет с даты оформления настоящей анкеты. Отзыв настоящего согласия, ранее указанного срока, оформляется путем направления заявления в простой письменной форме в адрес  ООО «Альфамобиль», ООО «Альфа-Лизинг», ООО «ЛК АЛ» не менее чем за 30 календарных дней. 
    Я даю свое согласие ООО «Альфамобиль», ООО «Альфа-Лизинг», ООО «ЛК АЛ» на получение кредитного отчета, содержащего основную часть моей кредитной истории в любом бюро кредитных историй с целью принятия решения о возможности заключения со мной или с организацией, в которой я являюсь руководителем и (или) участником/акционером, договора лизинга, договора поручительства или иного договора. Настоящее согласие на получение кредитного отчета действует в течение 6 месяцев.
    В случае заключения договора лизинга я даю свое согласие ООО «Альфамобиль» , ООО «Альфа-Лизинг», ООО «ЛК АЛ» на предоставление всей имеющейся обо мне информации, информации об исполнении ( в т.ч. о нарушениях) договора лизинга, а так же иной информации в объеме, порядке и на условиях, определенных Федеральным законом № 218-ФЗ от 30.12.2014 г. «О кредитных историях» в бюро кредитных историй, включенных в государственный реестр бюро кредитных историй.
    Я даю свое согласие на предоставление ООО «Альфамобиль» , ООО «Альфа-Лизинг», ООО «ЛК АЛ» всей имеющейся обо мне информации, включая персональные данные, информацию о существенных условиях, заключенных с ООО «Альфамобиль», ООО «Альфа-Лизинг», ООО «ЛК АЛ» договорах, платежной дисциплине по указанным договорам, сроках и порядке платежей, размере задолженности в АО «Альфа-Банк» (ОГРН 1027700067328, Место нахождения: 107078, г. Москва, ул. Каланчевская, д.27).
    Я выражаю согласие на получение информации, направляемой ООО «Альфамобиль», ООО «Альфа-Лизинг», ООО «ЛК АЛ», а также другими лицами, имеющими действующий договор с ООО «Альфамобиль», ООО «Альфа-Лизинг», ООО «ЛК АЛ» посредством уведомлений на мобильный телефон и электронную почту, указанные в настоящей анкете.</t>
    </r>
    <r>
      <rPr>
        <sz val="11"/>
        <color theme="1"/>
        <rFont val="Arial"/>
        <family val="2"/>
        <charset val="204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</si>
</sst>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\-000\-000&quot; &quot;00"/>
    <numFmt numFmtId="165" formatCode="####"/>
    <numFmt numFmtId="166" formatCode="0_ ;\-0\ 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2"/>
      <name val="Arial"/>
      <family val="2"/>
      <charset val="204"/>
    </font>
    <font>
      <u/>
      <sz val="11"/>
      <color theme="1"/>
      <name val="Arial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FF0000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8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b/>
      <sz val="11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9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/>
      <right style="hair">
        <color rgb="FFEF3124"/>
      </right>
      <top/>
      <bottom/>
      <diagonal/>
    </border>
    <border>
      <left style="hair">
        <color rgb="FFEF3124"/>
      </left>
      <right/>
      <top style="hair">
        <color rgb="FFEF3124"/>
      </top>
      <bottom/>
      <diagonal/>
    </border>
    <border>
      <left/>
      <right/>
      <top style="hair">
        <color rgb="FFEF3124"/>
      </top>
      <bottom/>
      <diagonal/>
    </border>
    <border>
      <left/>
      <right style="hair">
        <color rgb="FFEF3124"/>
      </right>
      <top style="hair">
        <color rgb="FFEF3124"/>
      </top>
      <bottom/>
      <diagonal/>
    </border>
    <border>
      <left style="hair">
        <color rgb="FFEF3124"/>
      </left>
      <right/>
      <top/>
      <bottom/>
      <diagonal/>
    </border>
    <border>
      <left style="hair">
        <color rgb="FFEF3124"/>
      </left>
      <right/>
      <top/>
      <bottom style="hair">
        <color rgb="FFEF3124"/>
      </bottom>
      <diagonal/>
    </border>
    <border>
      <left/>
      <right/>
      <top/>
      <bottom style="hair">
        <color rgb="FFEF3124"/>
      </bottom>
      <diagonal/>
    </border>
    <border>
      <left/>
      <right style="hair">
        <color rgb="FFEF3124"/>
      </right>
      <top/>
      <bottom style="hair">
        <color rgb="FFEF31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/>
      <diagonal/>
    </border>
    <border>
      <left style="hair">
        <color rgb="FFEF3124"/>
      </left>
      <right style="hair">
        <color rgb="FFEF3124"/>
      </right>
      <top style="hair">
        <color rgb="FFEF3124"/>
      </top>
      <bottom style="hair">
        <color rgb="FFEF312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9">
    <xf numFmtId="0" fontId="0" fillId="0" borderId="0" xfId="0"/>
    <xf numFmtId="0" fontId="0" fillId="0" borderId="11" xfId="0" applyBorder="1"/>
    <xf numFmtId="0" fontId="0" fillId="0" borderId="12" xfId="0" applyBorder="1"/>
    <xf numFmtId="0" fontId="7" fillId="0" borderId="10" xfId="0" applyFont="1" applyBorder="1"/>
    <xf numFmtId="0" fontId="8" fillId="3" borderId="9" xfId="0" applyFont="1" applyFill="1" applyBorder="1" applyAlignment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vertical="center"/>
    </xf>
    <xf numFmtId="49" fontId="4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/>
    </xf>
    <xf numFmtId="2" fontId="5" fillId="2" borderId="0" xfId="1" applyNumberFormat="1" applyFont="1" applyFill="1" applyBorder="1" applyAlignment="1" applyProtection="1">
      <alignment vertical="center" shrinkToFit="1"/>
      <protection hidden="1"/>
    </xf>
    <xf numFmtId="0" fontId="2" fillId="0" borderId="0" xfId="0" applyFont="1" applyAlignment="1" applyProtection="1">
      <alignment vertical="center"/>
    </xf>
    <xf numFmtId="0" fontId="0" fillId="2" borderId="0" xfId="0" applyFont="1" applyFill="1" applyBorder="1" applyAlignment="1" applyProtection="1"/>
    <xf numFmtId="0" fontId="2" fillId="2" borderId="0" xfId="0" applyFont="1" applyFill="1" applyBorder="1" applyAlignment="1" applyProtection="1">
      <alignment vertical="center" wrapText="1"/>
    </xf>
    <xf numFmtId="0" fontId="6" fillId="2" borderId="0" xfId="0" applyFont="1" applyFill="1" applyBorder="1" applyAlignment="1" applyProtection="1">
      <alignment horizontal="left" vertical="center"/>
    </xf>
    <xf numFmtId="0" fontId="6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left" wrapText="1" shrinkToFit="1"/>
    </xf>
    <xf numFmtId="0" fontId="2" fillId="2" borderId="1" xfId="0" applyFont="1" applyFill="1" applyBorder="1" applyAlignment="1" applyProtection="1">
      <alignment vertical="center"/>
    </xf>
    <xf numFmtId="0" fontId="0" fillId="0" borderId="11" xfId="0" applyFill="1" applyBorder="1"/>
    <xf numFmtId="0" fontId="0" fillId="2" borderId="0" xfId="0" applyFont="1" applyFill="1" applyProtection="1"/>
    <xf numFmtId="2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0" fontId="14" fillId="2" borderId="0" xfId="0" applyFont="1" applyFill="1" applyAlignment="1" applyProtection="1">
      <alignment vertical="center"/>
    </xf>
    <xf numFmtId="49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49" fontId="4" fillId="2" borderId="0" xfId="0" applyNumberFormat="1" applyFont="1" applyFill="1" applyBorder="1" applyAlignment="1" applyProtection="1">
      <alignment horizontal="center" vertical="center"/>
    </xf>
    <xf numFmtId="49" fontId="5" fillId="2" borderId="1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5" xfId="1" applyNumberFormat="1" applyFont="1" applyFill="1" applyBorder="1" applyAlignment="1" applyProtection="1">
      <alignment horizontal="center" vertical="center" shrinkToFit="1"/>
      <protection hidden="1"/>
    </xf>
    <xf numFmtId="0" fontId="0" fillId="2" borderId="0" xfId="0" applyFill="1" applyProtection="1"/>
    <xf numFmtId="0" fontId="2" fillId="2" borderId="0" xfId="0" applyFont="1" applyFill="1" applyAlignment="1" applyProtection="1"/>
    <xf numFmtId="0" fontId="15" fillId="2" borderId="0" xfId="0" applyFont="1" applyFill="1" applyBorder="1" applyAlignment="1" applyProtection="1">
      <alignment horizontal="center" vertical="top"/>
    </xf>
    <xf numFmtId="0" fontId="13" fillId="2" borderId="0" xfId="0" applyFont="1" applyFill="1" applyAlignment="1" applyProtection="1">
      <alignment horizontal="center" vertical="top"/>
    </xf>
    <xf numFmtId="0" fontId="14" fillId="2" borderId="0" xfId="0" applyFont="1" applyFill="1" applyAlignment="1" applyProtection="1">
      <alignment horizontal="right" vertical="center"/>
    </xf>
    <xf numFmtId="0" fontId="0" fillId="2" borderId="0" xfId="0" applyFill="1" applyBorder="1" applyAlignment="1" applyProtection="1">
      <alignment horizontal="center" vertical="center"/>
    </xf>
    <xf numFmtId="165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4" fontId="0" fillId="0" borderId="0" xfId="0" applyNumberFormat="1"/>
    <xf numFmtId="2" fontId="0" fillId="0" borderId="0" xfId="0" applyNumberFormat="1"/>
    <xf numFmtId="0" fontId="14" fillId="2" borderId="0" xfId="0" applyFont="1" applyFill="1" applyAlignment="1" applyProtection="1"/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distributed"/>
    </xf>
    <xf numFmtId="3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1" xfId="1" applyNumberFormat="1" applyFont="1" applyFill="1" applyBorder="1" applyAlignment="1" applyProtection="1">
      <alignment horizontal="center" vertical="center" shrinkToFit="1"/>
      <protection hidden="1"/>
    </xf>
    <xf numFmtId="0" fontId="0" fillId="2" borderId="0" xfId="0" applyFill="1" applyBorder="1" applyProtection="1"/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distributed"/>
    </xf>
    <xf numFmtId="14" fontId="5" fillId="2" borderId="0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0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distributed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horizontal="right" vertical="center"/>
    </xf>
    <xf numFmtId="0" fontId="2" fillId="2" borderId="0" xfId="0" applyFont="1" applyFill="1" applyAlignment="1" applyProtection="1">
      <alignment vertical="center"/>
    </xf>
    <xf numFmtId="0" fontId="11" fillId="2" borderId="0" xfId="0" applyFont="1" applyFill="1" applyAlignment="1" applyProtection="1">
      <alignment horizontal="center" vertical="top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0" fillId="2" borderId="0" xfId="0" applyFont="1" applyFill="1" applyProtection="1">
      <protection hidden="1"/>
    </xf>
    <xf numFmtId="0" fontId="2" fillId="2" borderId="0" xfId="0" applyFont="1" applyFill="1" applyAlignment="1" applyProtection="1">
      <alignment vertical="center" wrapText="1" shrinkToFit="1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left" wrapText="1" shrinkToFit="1"/>
      <protection hidden="1"/>
    </xf>
    <xf numFmtId="0" fontId="4" fillId="2" borderId="22" xfId="0" applyFont="1" applyFill="1" applyBorder="1" applyAlignment="1" applyProtection="1">
      <alignment vertical="center"/>
      <protection locked="0"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0" borderId="0" xfId="0" applyFont="1" applyAlignment="1" applyProtection="1">
      <alignment vertical="center"/>
      <protection hidden="1"/>
    </xf>
    <xf numFmtId="166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vertical="center" wrapText="1" shrinkToFit="1"/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horizontal="left" wrapText="1" shrinkToFit="1"/>
      <protection hidden="1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right" vertical="center"/>
    </xf>
    <xf numFmtId="14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3" xfId="0" applyFont="1" applyFill="1" applyBorder="1" applyAlignment="1" applyProtection="1">
      <alignment horizontal="center"/>
    </xf>
    <xf numFmtId="0" fontId="2" fillId="2" borderId="0" xfId="0" applyFont="1" applyFill="1" applyAlignment="1" applyProtection="1">
      <alignment vertical="center" wrapText="1" shrinkToFit="1"/>
      <protection hidden="1"/>
    </xf>
    <xf numFmtId="166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vertical="center"/>
      <protection hidden="1"/>
    </xf>
    <xf numFmtId="49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left" vertical="center" wrapText="1"/>
      <protection locked="0"/>
    </xf>
    <xf numFmtId="165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left" wrapText="1" shrinkToFit="1"/>
      <protection hidden="1"/>
    </xf>
    <xf numFmtId="0" fontId="2" fillId="2" borderId="3" xfId="0" applyFont="1" applyFill="1" applyBorder="1" applyAlignment="1" applyProtection="1">
      <alignment horizontal="left" wrapText="1" shrinkToFit="1"/>
      <protection hidden="1"/>
    </xf>
    <xf numFmtId="0" fontId="6" fillId="2" borderId="0" xfId="0" applyFont="1" applyFill="1" applyAlignment="1" applyProtection="1">
      <alignment horizontal="left" vertical="center"/>
      <protection hidden="1"/>
    </xf>
    <xf numFmtId="0" fontId="6" fillId="2" borderId="1" xfId="0" applyFont="1" applyFill="1" applyBorder="1" applyAlignment="1" applyProtection="1">
      <alignment horizontal="left" vertical="center"/>
      <protection hidden="1"/>
    </xf>
    <xf numFmtId="0" fontId="2" fillId="2" borderId="0" xfId="0" applyFont="1" applyFill="1" applyAlignment="1" applyProtection="1">
      <alignment horizontal="left" vertical="center" shrinkToFit="1"/>
      <protection hidden="1"/>
    </xf>
    <xf numFmtId="0" fontId="0" fillId="0" borderId="3" xfId="0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center" vertical="center" shrinkToFit="1"/>
      <protection locked="0"/>
    </xf>
    <xf numFmtId="0" fontId="0" fillId="0" borderId="6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 applyProtection="1">
      <alignment horizontal="center" vertical="center" shrinkToFit="1"/>
      <protection locked="0"/>
    </xf>
    <xf numFmtId="0" fontId="0" fillId="0" borderId="8" xfId="0" applyBorder="1" applyAlignment="1" applyProtection="1">
      <alignment horizontal="center" vertical="center" shrinkToFit="1"/>
      <protection locked="0"/>
    </xf>
    <xf numFmtId="0" fontId="2" fillId="2" borderId="5" xfId="0" applyFont="1" applyFill="1" applyBorder="1" applyAlignment="1" applyProtection="1">
      <alignment horizontal="right" vertical="center" wrapText="1"/>
    </xf>
    <xf numFmtId="0" fontId="0" fillId="0" borderId="0" xfId="0" applyAlignment="1" applyProtection="1"/>
    <xf numFmtId="0" fontId="0" fillId="0" borderId="1" xfId="0" applyBorder="1" applyAlignment="1" applyProtection="1"/>
    <xf numFmtId="0" fontId="0" fillId="0" borderId="5" xfId="0" applyBorder="1" applyAlignment="1" applyProtection="1"/>
    <xf numFmtId="0" fontId="2" fillId="2" borderId="0" xfId="0" applyFont="1" applyFill="1" applyBorder="1" applyAlignment="1" applyProtection="1">
      <alignment horizontal="left" vertical="center" shrinkToFit="1"/>
      <protection hidden="1"/>
    </xf>
    <xf numFmtId="0" fontId="2" fillId="2" borderId="0" xfId="0" applyFont="1" applyFill="1" applyAlignment="1" applyProtection="1">
      <alignment vertical="center"/>
    </xf>
    <xf numFmtId="0" fontId="0" fillId="0" borderId="1" xfId="0" applyBorder="1" applyAlignment="1" applyProtection="1">
      <alignment vertical="center"/>
    </xf>
    <xf numFmtId="0" fontId="2" fillId="2" borderId="5" xfId="0" applyFont="1" applyFill="1" applyBorder="1" applyAlignment="1" applyProtection="1">
      <alignment horizontal="right" vertical="center"/>
    </xf>
    <xf numFmtId="0" fontId="2" fillId="2" borderId="0" xfId="0" applyFont="1" applyFill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49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14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15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16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17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1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21" xfId="0" applyFont="1" applyFill="1" applyBorder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21" xfId="0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 wrapText="1"/>
    </xf>
    <xf numFmtId="0" fontId="2" fillId="2" borderId="1" xfId="0" applyFont="1" applyFill="1" applyBorder="1" applyAlignment="1" applyProtection="1">
      <alignment horizontal="right" vertical="center" wrapText="1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14" fillId="2" borderId="0" xfId="0" applyFont="1" applyFill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1" xfId="0" applyFont="1" applyFill="1" applyBorder="1" applyAlignment="1" applyProtection="1">
      <alignment horizontal="right" vertical="center"/>
    </xf>
    <xf numFmtId="0" fontId="2" fillId="2" borderId="5" xfId="0" applyFont="1" applyFill="1" applyBorder="1" applyAlignment="1" applyProtection="1">
      <alignment horizontal="right" vertical="distributed"/>
    </xf>
    <xf numFmtId="0" fontId="2" fillId="2" borderId="0" xfId="0" applyFont="1" applyFill="1" applyBorder="1" applyAlignment="1" applyProtection="1">
      <alignment horizontal="right" vertical="distributed"/>
    </xf>
    <xf numFmtId="0" fontId="2" fillId="2" borderId="1" xfId="0" applyFont="1" applyFill="1" applyBorder="1" applyAlignment="1" applyProtection="1">
      <alignment horizontal="right" vertical="distributed"/>
    </xf>
    <xf numFmtId="0" fontId="3" fillId="2" borderId="0" xfId="0" applyFont="1" applyFill="1" applyAlignment="1" applyProtection="1">
      <alignment horizontal="center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3" xfId="0" applyNumberFormat="1" applyFont="1" applyFill="1" applyBorder="1" applyAlignment="1" applyProtection="1">
      <alignment horizontal="center" vertical="center"/>
      <protection locked="0"/>
    </xf>
    <xf numFmtId="49" fontId="4" fillId="2" borderId="4" xfId="0" applyNumberFormat="1" applyFont="1" applyFill="1" applyBorder="1" applyAlignment="1" applyProtection="1">
      <alignment horizontal="center" vertical="center"/>
      <protection locked="0"/>
    </xf>
    <xf numFmtId="49" fontId="4" fillId="2" borderId="6" xfId="0" applyNumberFormat="1" applyFont="1" applyFill="1" applyBorder="1" applyAlignment="1" applyProtection="1">
      <alignment horizontal="center" vertical="center"/>
      <protection locked="0"/>
    </xf>
    <xf numFmtId="49" fontId="4" fillId="2" borderId="7" xfId="0" applyNumberFormat="1" applyFont="1" applyFill="1" applyBorder="1" applyAlignment="1" applyProtection="1">
      <alignment horizontal="center" vertical="center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0" fillId="0" borderId="5" xfId="0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 vertical="center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0" fillId="0" borderId="14" xfId="0" applyFont="1" applyBorder="1" applyAlignment="1" applyProtection="1">
      <alignment horizontal="center" vertical="center"/>
      <protection locked="0"/>
    </xf>
    <xf numFmtId="0" fontId="0" fillId="0" borderId="15" xfId="0" applyFont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 vertical="center"/>
      <protection locked="0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164" fontId="4" fillId="2" borderId="2" xfId="0" applyNumberFormat="1" applyFont="1" applyFill="1" applyBorder="1" applyAlignment="1" applyProtection="1">
      <alignment horizontal="center" vertical="center"/>
      <protection locked="0"/>
    </xf>
    <xf numFmtId="164" fontId="4" fillId="2" borderId="3" xfId="0" applyNumberFormat="1" applyFont="1" applyFill="1" applyBorder="1" applyAlignment="1" applyProtection="1">
      <alignment horizontal="center" vertical="center"/>
      <protection locked="0"/>
    </xf>
    <xf numFmtId="164" fontId="4" fillId="2" borderId="4" xfId="0" applyNumberFormat="1" applyFont="1" applyFill="1" applyBorder="1" applyAlignment="1" applyProtection="1">
      <alignment horizontal="center" vertical="center"/>
      <protection locked="0"/>
    </xf>
    <xf numFmtId="164" fontId="4" fillId="2" borderId="6" xfId="0" applyNumberFormat="1" applyFont="1" applyFill="1" applyBorder="1" applyAlignment="1" applyProtection="1">
      <alignment horizontal="center" vertical="center"/>
      <protection locked="0"/>
    </xf>
    <xf numFmtId="164" fontId="4" fillId="2" borderId="7" xfId="0" applyNumberFormat="1" applyFont="1" applyFill="1" applyBorder="1" applyAlignment="1" applyProtection="1">
      <alignment horizontal="center" vertical="center"/>
      <protection locked="0"/>
    </xf>
    <xf numFmtId="164" fontId="4" fillId="2" borderId="8" xfId="0" applyNumberFormat="1" applyFont="1" applyFill="1" applyBorder="1" applyAlignment="1" applyProtection="1">
      <alignment horizontal="center" vertical="center"/>
      <protection locked="0"/>
    </xf>
    <xf numFmtId="1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1" fontId="0" fillId="0" borderId="14" xfId="0" applyNumberFormat="1" applyBorder="1" applyAlignment="1" applyProtection="1">
      <protection locked="0"/>
    </xf>
    <xf numFmtId="1" fontId="0" fillId="0" borderId="15" xfId="0" applyNumberFormat="1" applyBorder="1" applyAlignment="1" applyProtection="1">
      <protection locked="0"/>
    </xf>
    <xf numFmtId="1" fontId="0" fillId="0" borderId="16" xfId="0" applyNumberFormat="1" applyBorder="1" applyAlignment="1" applyProtection="1">
      <protection locked="0"/>
    </xf>
    <xf numFmtId="1" fontId="0" fillId="0" borderId="17" xfId="0" applyNumberFormat="1" applyBorder="1" applyAlignment="1" applyProtection="1">
      <protection locked="0"/>
    </xf>
    <xf numFmtId="1" fontId="0" fillId="0" borderId="18" xfId="0" applyNumberFormat="1" applyBorder="1" applyAlignment="1" applyProtection="1">
      <protection locked="0"/>
    </xf>
    <xf numFmtId="0" fontId="0" fillId="2" borderId="0" xfId="0" applyFill="1" applyAlignment="1" applyProtection="1">
      <alignment vertical="center"/>
    </xf>
    <xf numFmtId="14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4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5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6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7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left" vertical="distributed"/>
    </xf>
    <xf numFmtId="0" fontId="0" fillId="0" borderId="0" xfId="0" applyAlignment="1" applyProtection="1">
      <alignment horizontal="left"/>
    </xf>
    <xf numFmtId="0" fontId="0" fillId="0" borderId="20" xfId="0" applyBorder="1" applyAlignment="1" applyProtection="1">
      <alignment horizontal="left"/>
    </xf>
    <xf numFmtId="0" fontId="11" fillId="2" borderId="0" xfId="0" applyFont="1" applyFill="1" applyAlignment="1" applyProtection="1">
      <alignment horizontal="center" vertical="top"/>
    </xf>
    <xf numFmtId="0" fontId="2" fillId="2" borderId="0" xfId="0" applyFont="1" applyFill="1" applyBorder="1" applyAlignment="1" applyProtection="1">
      <alignment vertical="center"/>
    </xf>
    <xf numFmtId="0" fontId="0" fillId="2" borderId="3" xfId="0" applyFill="1" applyBorder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horizontal="center" vertical="center" shrinkToFit="1"/>
      <protection locked="0"/>
    </xf>
    <xf numFmtId="0" fontId="0" fillId="2" borderId="6" xfId="0" applyFill="1" applyBorder="1" applyAlignment="1" applyProtection="1">
      <alignment horizontal="center" vertical="center" shrinkToFit="1"/>
      <protection locked="0"/>
    </xf>
    <xf numFmtId="0" fontId="0" fillId="2" borderId="7" xfId="0" applyFill="1" applyBorder="1" applyAlignment="1" applyProtection="1">
      <alignment horizontal="center" vertical="center" shrinkToFit="1"/>
      <protection locked="0"/>
    </xf>
    <xf numFmtId="0" fontId="0" fillId="2" borderId="8" xfId="0" applyFill="1" applyBorder="1" applyAlignment="1" applyProtection="1">
      <alignment horizontal="center" vertical="center" shrinkToFit="1"/>
      <protection locked="0"/>
    </xf>
    <xf numFmtId="0" fontId="9" fillId="2" borderId="0" xfId="0" applyFont="1" applyFill="1" applyAlignment="1" applyProtection="1">
      <alignment horizontal="center" vertical="top"/>
    </xf>
    <xf numFmtId="0" fontId="0" fillId="2" borderId="1" xfId="0" applyFill="1" applyBorder="1" applyAlignment="1" applyProtection="1">
      <alignment vertical="center"/>
    </xf>
    <xf numFmtId="0" fontId="0" fillId="2" borderId="0" xfId="0" applyFill="1" applyAlignment="1" applyProtection="1"/>
    <xf numFmtId="0" fontId="0" fillId="2" borderId="1" xfId="0" applyFill="1" applyBorder="1" applyAlignment="1" applyProtection="1"/>
    <xf numFmtId="0" fontId="2" fillId="2" borderId="0" xfId="0" applyFont="1" applyFill="1" applyAlignment="1" applyProtection="1">
      <alignment horizontal="right" vertical="distributed"/>
    </xf>
    <xf numFmtId="0" fontId="0" fillId="2" borderId="0" xfId="0" applyFont="1" applyFill="1" applyAlignment="1" applyProtection="1">
      <alignment vertical="center"/>
    </xf>
    <xf numFmtId="0" fontId="0" fillId="2" borderId="1" xfId="0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center" wrapText="1" shrinkToFit="1"/>
    </xf>
    <xf numFmtId="0" fontId="0" fillId="2" borderId="3" xfId="0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2" fillId="2" borderId="5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vertical="center"/>
    </xf>
    <xf numFmtId="0" fontId="6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horizontal="left" vertical="top" wrapText="1" shrinkToFit="1"/>
    </xf>
    <xf numFmtId="0" fontId="0" fillId="2" borderId="0" xfId="0" applyFill="1" applyAlignment="1" applyProtection="1">
      <alignment vertical="top"/>
    </xf>
    <xf numFmtId="0" fontId="2" fillId="2" borderId="0" xfId="0" applyFont="1" applyFill="1" applyAlignment="1" applyProtection="1">
      <alignment horizontal="left" vertical="center" wrapText="1" shrinkToFit="1"/>
    </xf>
    <xf numFmtId="0" fontId="2" fillId="2" borderId="1" xfId="0" applyFont="1" applyFill="1" applyBorder="1" applyAlignment="1" applyProtection="1">
      <alignment horizontal="left" vertical="center" wrapText="1" shrinkToFit="1"/>
    </xf>
    <xf numFmtId="0" fontId="2" fillId="2" borderId="0" xfId="0" applyFont="1" applyFill="1" applyAlignment="1" applyProtection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/>
      <protection locked="0"/>
    </xf>
    <xf numFmtId="0" fontId="0" fillId="2" borderId="4" xfId="0" applyFill="1" applyBorder="1" applyAlignment="1" applyProtection="1">
      <alignment vertical="center"/>
      <protection locked="0"/>
    </xf>
    <xf numFmtId="0" fontId="0" fillId="2" borderId="7" xfId="0" applyFill="1" applyBorder="1" applyAlignment="1" applyProtection="1">
      <alignment vertical="center"/>
      <protection locked="0"/>
    </xf>
    <xf numFmtId="0" fontId="0" fillId="2" borderId="8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 shrinkToFit="1"/>
      <protection locked="0" hidden="1"/>
    </xf>
    <xf numFmtId="0" fontId="0" fillId="0" borderId="4" xfId="0" applyBorder="1" applyAlignment="1" applyProtection="1">
      <alignment horizontal="center" vertical="center" shrinkToFit="1"/>
      <protection locked="0" hidden="1"/>
    </xf>
    <xf numFmtId="0" fontId="0" fillId="0" borderId="6" xfId="0" applyBorder="1" applyAlignment="1" applyProtection="1">
      <alignment horizontal="center" vertical="center" shrinkToFit="1"/>
      <protection locked="0" hidden="1"/>
    </xf>
    <xf numFmtId="0" fontId="0" fillId="0" borderId="7" xfId="0" applyBorder="1" applyAlignment="1" applyProtection="1">
      <alignment horizontal="center" vertical="center" shrinkToFit="1"/>
      <protection locked="0" hidden="1"/>
    </xf>
    <xf numFmtId="0" fontId="0" fillId="0" borderId="8" xfId="0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right" wrapText="1" shrinkToFit="1"/>
    </xf>
    <xf numFmtId="0" fontId="0" fillId="2" borderId="0" xfId="0" applyFill="1" applyAlignment="1" applyProtection="1">
      <alignment horizontal="right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58</xdr:col>
      <xdr:colOff>108857</xdr:colOff>
      <xdr:row>24</xdr:row>
      <xdr:rowOff>0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4107" y="1891393"/>
          <a:ext cx="11742964" cy="2588558"/>
        </a:xfrm>
        <a:prstGeom prst="roundRect">
          <a:avLst>
            <a:gd name="adj" fmla="val 4460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353</xdr:colOff>
      <xdr:row>10</xdr:row>
      <xdr:rowOff>0</xdr:rowOff>
    </xdr:from>
    <xdr:to>
      <xdr:col>58</xdr:col>
      <xdr:colOff>96309</xdr:colOff>
      <xdr:row>11</xdr:row>
      <xdr:rowOff>126146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4460" y="1891393"/>
          <a:ext cx="11730063" cy="303039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  1. Персональные данные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19050</xdr:colOff>
          <xdr:row>14</xdr:row>
          <xdr:rowOff>85725</xdr:rowOff>
        </xdr:from>
        <xdr:to>
          <xdr:col>74</xdr:col>
          <xdr:colOff>9525</xdr:colOff>
          <xdr:row>17</xdr:row>
          <xdr:rowOff>152400</xdr:rowOff>
        </xdr:to>
        <xdr:sp macro="" textlink="">
          <xdr:nvSpPr>
            <xdr:cNvPr id="1026" name="Кнопка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1.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163285</xdr:colOff>
      <xdr:row>1</xdr:row>
      <xdr:rowOff>122464</xdr:rowOff>
    </xdr:from>
    <xdr:to>
      <xdr:col>18</xdr:col>
      <xdr:colOff>16327</xdr:colOff>
      <xdr:row>9</xdr:row>
      <xdr:rowOff>21771</xdr:rowOff>
    </xdr:to>
    <xdr:pic>
      <xdr:nvPicPr>
        <xdr:cNvPr id="7" name="Рисунок 7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285" y="299357"/>
          <a:ext cx="3526971" cy="11661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622</xdr:colOff>
      <xdr:row>24</xdr:row>
      <xdr:rowOff>20862</xdr:rowOff>
    </xdr:from>
    <xdr:to>
      <xdr:col>58</xdr:col>
      <xdr:colOff>95251</xdr:colOff>
      <xdr:row>45</xdr:row>
      <xdr:rowOff>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27601" y="6013100"/>
          <a:ext cx="13032416" cy="3792381"/>
        </a:xfrm>
        <a:prstGeom prst="roundRect">
          <a:avLst>
            <a:gd name="adj" fmla="val 5206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1680</xdr:colOff>
      <xdr:row>24</xdr:row>
      <xdr:rowOff>20863</xdr:rowOff>
    </xdr:from>
    <xdr:to>
      <xdr:col>58</xdr:col>
      <xdr:colOff>95250</xdr:colOff>
      <xdr:row>25</xdr:row>
      <xdr:rowOff>155439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28659" y="6013101"/>
          <a:ext cx="13031357" cy="316159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2. Документы</a:t>
          </a:r>
        </a:p>
      </xdr:txBody>
    </xdr:sp>
    <xdr:clientData/>
  </xdr:twoCellAnchor>
  <xdr:twoCellAnchor>
    <xdr:from>
      <xdr:col>1</xdr:col>
      <xdr:colOff>622</xdr:colOff>
      <xdr:row>45</xdr:row>
      <xdr:rowOff>27214</xdr:rowOff>
    </xdr:from>
    <xdr:to>
      <xdr:col>58</xdr:col>
      <xdr:colOff>122465</xdr:colOff>
      <xdr:row>64</xdr:row>
      <xdr:rowOff>0</xdr:rowOff>
    </xdr:to>
    <xdr:sp macro="" textlink="">
      <xdr:nvSpPr>
        <xdr:cNvPr id="9" name="Скругленный прямоугольник 8"/>
        <xdr:cNvSpPr/>
      </xdr:nvSpPr>
      <xdr:spPr>
        <a:xfrm>
          <a:off x="227601" y="16188099"/>
          <a:ext cx="13059630" cy="3422863"/>
        </a:xfrm>
        <a:prstGeom prst="roundRect">
          <a:avLst>
            <a:gd name="adj" fmla="val 417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201706</xdr:colOff>
      <xdr:row>45</xdr:row>
      <xdr:rowOff>27213</xdr:rowOff>
    </xdr:from>
    <xdr:to>
      <xdr:col>58</xdr:col>
      <xdr:colOff>122466</xdr:colOff>
      <xdr:row>46</xdr:row>
      <xdr:rowOff>163285</xdr:rowOff>
    </xdr:to>
    <xdr:sp macro="" textlink="">
      <xdr:nvSpPr>
        <xdr:cNvPr id="10" name="Скругленный прямоугольник 9"/>
        <xdr:cNvSpPr/>
      </xdr:nvSpPr>
      <xdr:spPr>
        <a:xfrm>
          <a:off x="201706" y="16188098"/>
          <a:ext cx="13085526" cy="31765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Шаг 3. Место жительства</a:t>
          </a:r>
        </a:p>
      </xdr:txBody>
    </xdr:sp>
    <xdr:clientData/>
  </xdr:twoCellAnchor>
  <xdr:twoCellAnchor>
    <xdr:from>
      <xdr:col>0</xdr:col>
      <xdr:colOff>197845</xdr:colOff>
      <xdr:row>64</xdr:row>
      <xdr:rowOff>27085</xdr:rowOff>
    </xdr:from>
    <xdr:to>
      <xdr:col>58</xdr:col>
      <xdr:colOff>176893</xdr:colOff>
      <xdr:row>73</xdr:row>
      <xdr:rowOff>0</xdr:rowOff>
    </xdr:to>
    <xdr:sp macro="" textlink="">
      <xdr:nvSpPr>
        <xdr:cNvPr id="11" name="Скругленный прямоугольник 10"/>
        <xdr:cNvSpPr/>
      </xdr:nvSpPr>
      <xdr:spPr>
        <a:xfrm>
          <a:off x="197845" y="19638047"/>
          <a:ext cx="13143814" cy="1607162"/>
        </a:xfrm>
        <a:prstGeom prst="roundRect">
          <a:avLst>
            <a:gd name="adj" fmla="val 6369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197845</xdr:colOff>
      <xdr:row>64</xdr:row>
      <xdr:rowOff>27084</xdr:rowOff>
    </xdr:from>
    <xdr:to>
      <xdr:col>58</xdr:col>
      <xdr:colOff>176892</xdr:colOff>
      <xdr:row>66</xdr:row>
      <xdr:rowOff>0</xdr:rowOff>
    </xdr:to>
    <xdr:sp macro="" textlink="">
      <xdr:nvSpPr>
        <xdr:cNvPr id="12" name="Скругленный прямоугольник 11"/>
        <xdr:cNvSpPr/>
      </xdr:nvSpPr>
      <xdr:spPr>
        <a:xfrm>
          <a:off x="197845" y="19638046"/>
          <a:ext cx="13143813" cy="33608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Шаг 4. Контакты</a:t>
          </a:r>
        </a:p>
      </xdr:txBody>
    </xdr:sp>
    <xdr:clientData/>
  </xdr:twoCellAnchor>
  <xdr:twoCellAnchor>
    <xdr:from>
      <xdr:col>0</xdr:col>
      <xdr:colOff>198704</xdr:colOff>
      <xdr:row>73</xdr:row>
      <xdr:rowOff>54428</xdr:rowOff>
    </xdr:from>
    <xdr:to>
      <xdr:col>59</xdr:col>
      <xdr:colOff>81642</xdr:colOff>
      <xdr:row>110</xdr:row>
      <xdr:rowOff>0</xdr:rowOff>
    </xdr:to>
    <xdr:sp macro="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198704" y="21299637"/>
          <a:ext cx="13274683" cy="6664142"/>
        </a:xfrm>
        <a:prstGeom prst="roundRect">
          <a:avLst>
            <a:gd name="adj" fmla="val 218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190500</xdr:colOff>
      <xdr:row>73</xdr:row>
      <xdr:rowOff>68036</xdr:rowOff>
    </xdr:from>
    <xdr:to>
      <xdr:col>59</xdr:col>
      <xdr:colOff>68036</xdr:colOff>
      <xdr:row>75</xdr:row>
      <xdr:rowOff>27214</xdr:rowOff>
    </xdr:to>
    <xdr:sp macro="" textlink="">
      <xdr:nvSpPr>
        <xdr:cNvPr id="14" name="Скругленный прямоугольник 13"/>
        <xdr:cNvSpPr/>
      </xdr:nvSpPr>
      <xdr:spPr>
        <a:xfrm>
          <a:off x="190500" y="21313245"/>
          <a:ext cx="13269281" cy="322343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Шаг 5. Согласие на обработку персональных данных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</xdr:rowOff>
    </xdr:from>
    <xdr:to>
      <xdr:col>58</xdr:col>
      <xdr:colOff>95250</xdr:colOff>
      <xdr:row>33</xdr:row>
      <xdr:rowOff>0</xdr:rowOff>
    </xdr:to>
    <xdr:sp macro="" textlink="">
      <xdr:nvSpPr>
        <xdr:cNvPr id="2" name="Скругленный прямоугольник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4107" y="3714751"/>
          <a:ext cx="11729357" cy="2136320"/>
        </a:xfrm>
        <a:prstGeom prst="roundRect">
          <a:avLst>
            <a:gd name="adj" fmla="val 4460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353</xdr:colOff>
      <xdr:row>21</xdr:row>
      <xdr:rowOff>0</xdr:rowOff>
    </xdr:from>
    <xdr:to>
      <xdr:col>58</xdr:col>
      <xdr:colOff>108857</xdr:colOff>
      <xdr:row>22</xdr:row>
      <xdr:rowOff>136071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4460" y="3714750"/>
          <a:ext cx="11742611" cy="31296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1.1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Фамилия,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Имя, Отчество, имевшиеся ранее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622</xdr:colOff>
      <xdr:row>33</xdr:row>
      <xdr:rowOff>20862</xdr:rowOff>
    </xdr:from>
    <xdr:to>
      <xdr:col>58</xdr:col>
      <xdr:colOff>95251</xdr:colOff>
      <xdr:row>54</xdr:row>
      <xdr:rowOff>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0647" y="6354987"/>
          <a:ext cx="11496054" cy="3779613"/>
        </a:xfrm>
        <a:prstGeom prst="roundRect">
          <a:avLst>
            <a:gd name="adj" fmla="val 5206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1680</xdr:colOff>
      <xdr:row>33</xdr:row>
      <xdr:rowOff>20863</xdr:rowOff>
    </xdr:from>
    <xdr:to>
      <xdr:col>58</xdr:col>
      <xdr:colOff>95250</xdr:colOff>
      <xdr:row>34</xdr:row>
      <xdr:rowOff>155439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1705" y="6354988"/>
          <a:ext cx="11494995" cy="31555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2. Документы</a:t>
          </a:r>
        </a:p>
      </xdr:txBody>
    </xdr:sp>
    <xdr:clientData/>
  </xdr:twoCellAnchor>
  <xdr:twoCellAnchor>
    <xdr:from>
      <xdr:col>1</xdr:col>
      <xdr:colOff>1680</xdr:colOff>
      <xdr:row>54</xdr:row>
      <xdr:rowOff>22408</xdr:rowOff>
    </xdr:from>
    <xdr:to>
      <xdr:col>58</xdr:col>
      <xdr:colOff>104775</xdr:colOff>
      <xdr:row>76</xdr:row>
      <xdr:rowOff>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1705" y="10337983"/>
          <a:ext cx="11504520" cy="4017707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54</xdr:row>
      <xdr:rowOff>11402</xdr:rowOff>
    </xdr:from>
    <xdr:to>
      <xdr:col>58</xdr:col>
      <xdr:colOff>95251</xdr:colOff>
      <xdr:row>55</xdr:row>
      <xdr:rowOff>138111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02765" y="10326977"/>
          <a:ext cx="11493936" cy="307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1.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122464</xdr:colOff>
      <xdr:row>59</xdr:row>
      <xdr:rowOff>141669</xdr:rowOff>
    </xdr:from>
    <xdr:to>
      <xdr:col>57</xdr:col>
      <xdr:colOff>149678</xdr:colOff>
      <xdr:row>59</xdr:row>
      <xdr:rowOff>168883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 flipV="1">
          <a:off x="322489" y="10247694"/>
          <a:ext cx="11180989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76</xdr:row>
      <xdr:rowOff>0</xdr:rowOff>
    </xdr:from>
    <xdr:to>
      <xdr:col>58</xdr:col>
      <xdr:colOff>108857</xdr:colOff>
      <xdr:row>89</xdr:row>
      <xdr:rowOff>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04107" y="14285695"/>
          <a:ext cx="11742964" cy="23982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1060</xdr:colOff>
      <xdr:row>76</xdr:row>
      <xdr:rowOff>0</xdr:rowOff>
    </xdr:from>
    <xdr:to>
      <xdr:col>58</xdr:col>
      <xdr:colOff>136073</xdr:colOff>
      <xdr:row>77</xdr:row>
      <xdr:rowOff>108297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05167" y="14274689"/>
          <a:ext cx="11769120" cy="33882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2.2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622</xdr:colOff>
      <xdr:row>89</xdr:row>
      <xdr:rowOff>27214</xdr:rowOff>
    </xdr:from>
    <xdr:to>
      <xdr:col>58</xdr:col>
      <xdr:colOff>122465</xdr:colOff>
      <xdr:row>108</xdr:row>
      <xdr:rowOff>0</xdr:rowOff>
    </xdr:to>
    <xdr:sp macro="" textlink="">
      <xdr:nvSpPr>
        <xdr:cNvPr id="70" name="Скругленный прямоугольник 69"/>
        <xdr:cNvSpPr/>
      </xdr:nvSpPr>
      <xdr:spPr>
        <a:xfrm>
          <a:off x="204729" y="15770678"/>
          <a:ext cx="11755950" cy="4748893"/>
        </a:xfrm>
        <a:prstGeom prst="roundRect">
          <a:avLst>
            <a:gd name="adj" fmla="val 417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201706</xdr:colOff>
      <xdr:row>89</xdr:row>
      <xdr:rowOff>27213</xdr:rowOff>
    </xdr:from>
    <xdr:to>
      <xdr:col>58</xdr:col>
      <xdr:colOff>122466</xdr:colOff>
      <xdr:row>90</xdr:row>
      <xdr:rowOff>163285</xdr:rowOff>
    </xdr:to>
    <xdr:sp macro="" textlink="">
      <xdr:nvSpPr>
        <xdr:cNvPr id="71" name="Скругленный прямоугольник 70"/>
        <xdr:cNvSpPr/>
      </xdr:nvSpPr>
      <xdr:spPr>
        <a:xfrm>
          <a:off x="201706" y="15770677"/>
          <a:ext cx="11758974" cy="31296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Шаг 3. Место жительства</a:t>
          </a:r>
        </a:p>
      </xdr:txBody>
    </xdr:sp>
    <xdr:clientData/>
  </xdr:twoCellAnchor>
  <xdr:twoCellAnchor>
    <xdr:from>
      <xdr:col>0</xdr:col>
      <xdr:colOff>197845</xdr:colOff>
      <xdr:row>108</xdr:row>
      <xdr:rowOff>27085</xdr:rowOff>
    </xdr:from>
    <xdr:to>
      <xdr:col>58</xdr:col>
      <xdr:colOff>176893</xdr:colOff>
      <xdr:row>117</xdr:row>
      <xdr:rowOff>0</xdr:rowOff>
    </xdr:to>
    <xdr:sp macro="" textlink="">
      <xdr:nvSpPr>
        <xdr:cNvPr id="72" name="Скругленный прямоугольник 71"/>
        <xdr:cNvSpPr/>
      </xdr:nvSpPr>
      <xdr:spPr>
        <a:xfrm>
          <a:off x="197845" y="20546656"/>
          <a:ext cx="11817262" cy="3511814"/>
        </a:xfrm>
        <a:prstGeom prst="roundRect">
          <a:avLst>
            <a:gd name="adj" fmla="val 6369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197845</xdr:colOff>
      <xdr:row>108</xdr:row>
      <xdr:rowOff>27084</xdr:rowOff>
    </xdr:from>
    <xdr:to>
      <xdr:col>58</xdr:col>
      <xdr:colOff>176892</xdr:colOff>
      <xdr:row>110</xdr:row>
      <xdr:rowOff>0</xdr:rowOff>
    </xdr:to>
    <xdr:sp macro="" textlink="">
      <xdr:nvSpPr>
        <xdr:cNvPr id="73" name="Скругленный прямоугольник 72"/>
        <xdr:cNvSpPr/>
      </xdr:nvSpPr>
      <xdr:spPr>
        <a:xfrm>
          <a:off x="197845" y="20546655"/>
          <a:ext cx="11817261" cy="32670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Шаг 4. Контакты</a:t>
          </a:r>
        </a:p>
      </xdr:txBody>
    </xdr:sp>
    <xdr:clientData/>
  </xdr:twoCellAnchor>
  <xdr:twoCellAnchor>
    <xdr:from>
      <xdr:col>0</xdr:col>
      <xdr:colOff>198704</xdr:colOff>
      <xdr:row>117</xdr:row>
      <xdr:rowOff>54428</xdr:rowOff>
    </xdr:from>
    <xdr:to>
      <xdr:col>59</xdr:col>
      <xdr:colOff>81642</xdr:colOff>
      <xdr:row>154</xdr:row>
      <xdr:rowOff>0</xdr:rowOff>
    </xdr:to>
    <xdr:sp macro="" textlink="">
      <xdr:nvSpPr>
        <xdr:cNvPr id="80" name="Скругленный прямоугольник 79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198704" y="41093571"/>
          <a:ext cx="11925259" cy="7021286"/>
        </a:xfrm>
        <a:prstGeom prst="roundRect">
          <a:avLst>
            <a:gd name="adj" fmla="val 218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190500</xdr:colOff>
      <xdr:row>117</xdr:row>
      <xdr:rowOff>68036</xdr:rowOff>
    </xdr:from>
    <xdr:to>
      <xdr:col>59</xdr:col>
      <xdr:colOff>68036</xdr:colOff>
      <xdr:row>119</xdr:row>
      <xdr:rowOff>27214</xdr:rowOff>
    </xdr:to>
    <xdr:sp macro="" textlink="">
      <xdr:nvSpPr>
        <xdr:cNvPr id="82" name="Скругленный прямоугольник 81"/>
        <xdr:cNvSpPr/>
      </xdr:nvSpPr>
      <xdr:spPr>
        <a:xfrm>
          <a:off x="190500" y="41107179"/>
          <a:ext cx="11919857" cy="31296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Шаг 5. Согласие на обработку персональных данных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1680</xdr:colOff>
      <xdr:row>6</xdr:row>
      <xdr:rowOff>22412</xdr:rowOff>
    </xdr:from>
    <xdr:to>
      <xdr:col>58</xdr:col>
      <xdr:colOff>148335</xdr:colOff>
      <xdr:row>30</xdr:row>
      <xdr:rowOff>148317</xdr:rowOff>
    </xdr:to>
    <xdr:sp macro="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1705" y="3070412"/>
          <a:ext cx="11500455" cy="34025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6</xdr:row>
      <xdr:rowOff>11406</xdr:rowOff>
    </xdr:from>
    <xdr:to>
      <xdr:col>58</xdr:col>
      <xdr:colOff>148335</xdr:colOff>
      <xdr:row>7</xdr:row>
      <xdr:rowOff>153323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2764" y="3059406"/>
          <a:ext cx="1149939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№1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31</xdr:row>
      <xdr:rowOff>11006</xdr:rowOff>
    </xdr:from>
    <xdr:to>
      <xdr:col>58</xdr:col>
      <xdr:colOff>146655</xdr:colOff>
      <xdr:row>52</xdr:row>
      <xdr:rowOff>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0025" y="6849956"/>
          <a:ext cx="11500455" cy="359081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31</xdr:row>
      <xdr:rowOff>0</xdr:rowOff>
    </xdr:from>
    <xdr:to>
      <xdr:col>58</xdr:col>
      <xdr:colOff>146655</xdr:colOff>
      <xdr:row>32</xdr:row>
      <xdr:rowOff>109390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1084" y="6838950"/>
          <a:ext cx="11499396" cy="29036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36</xdr:row>
      <xdr:rowOff>95630</xdr:rowOff>
    </xdr:from>
    <xdr:to>
      <xdr:col>57</xdr:col>
      <xdr:colOff>147998</xdr:colOff>
      <xdr:row>36</xdr:row>
      <xdr:rowOff>103794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V="1">
          <a:off x="320809" y="7858505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53</xdr:row>
      <xdr:rowOff>0</xdr:rowOff>
    </xdr:from>
    <xdr:to>
      <xdr:col>58</xdr:col>
      <xdr:colOff>146655</xdr:colOff>
      <xdr:row>66</xdr:row>
      <xdr:rowOff>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0025" y="10754641"/>
          <a:ext cx="11500455" cy="19601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53</xdr:row>
      <xdr:rowOff>0</xdr:rowOff>
    </xdr:from>
    <xdr:to>
      <xdr:col>58</xdr:col>
      <xdr:colOff>146655</xdr:colOff>
      <xdr:row>54</xdr:row>
      <xdr:rowOff>108297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01084" y="10743635"/>
          <a:ext cx="11499396" cy="2898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1680</xdr:colOff>
      <xdr:row>66</xdr:row>
      <xdr:rowOff>22412</xdr:rowOff>
    </xdr:from>
    <xdr:to>
      <xdr:col>58</xdr:col>
      <xdr:colOff>148335</xdr:colOff>
      <xdr:row>90</xdr:row>
      <xdr:rowOff>148317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1705" y="13014512"/>
          <a:ext cx="11500455" cy="362158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66</xdr:row>
      <xdr:rowOff>11406</xdr:rowOff>
    </xdr:from>
    <xdr:to>
      <xdr:col>58</xdr:col>
      <xdr:colOff>148335</xdr:colOff>
      <xdr:row>67</xdr:row>
      <xdr:rowOff>153323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2764" y="13003506"/>
          <a:ext cx="1149939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91</xdr:row>
      <xdr:rowOff>11006</xdr:rowOff>
    </xdr:from>
    <xdr:to>
      <xdr:col>58</xdr:col>
      <xdr:colOff>146655</xdr:colOff>
      <xdr:row>112</xdr:row>
      <xdr:rowOff>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0025" y="16984556"/>
          <a:ext cx="11500455" cy="383846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91</xdr:row>
      <xdr:rowOff>0</xdr:rowOff>
    </xdr:from>
    <xdr:to>
      <xdr:col>58</xdr:col>
      <xdr:colOff>146655</xdr:colOff>
      <xdr:row>92</xdr:row>
      <xdr:rowOff>109390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1084" y="16973550"/>
          <a:ext cx="11499396" cy="2617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96</xdr:row>
      <xdr:rowOff>95630</xdr:rowOff>
    </xdr:from>
    <xdr:to>
      <xdr:col>57</xdr:col>
      <xdr:colOff>147998</xdr:colOff>
      <xdr:row>96</xdr:row>
      <xdr:rowOff>103794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0809" y="17935955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112</xdr:row>
      <xdr:rowOff>0</xdr:rowOff>
    </xdr:from>
    <xdr:to>
      <xdr:col>58</xdr:col>
      <xdr:colOff>146655</xdr:colOff>
      <xdr:row>125</xdr:row>
      <xdr:rowOff>0</xdr:rowOff>
    </xdr:to>
    <xdr:sp macro="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0025" y="21298816"/>
          <a:ext cx="11500455" cy="22744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112</xdr:row>
      <xdr:rowOff>0</xdr:rowOff>
    </xdr:from>
    <xdr:to>
      <xdr:col>58</xdr:col>
      <xdr:colOff>146655</xdr:colOff>
      <xdr:row>113</xdr:row>
      <xdr:rowOff>108297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1084" y="21287810"/>
          <a:ext cx="11499396" cy="3565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25</xdr:row>
          <xdr:rowOff>28575</xdr:rowOff>
        </xdr:from>
        <xdr:to>
          <xdr:col>70</xdr:col>
          <xdr:colOff>123825</xdr:colOff>
          <xdr:row>29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85</xdr:row>
          <xdr:rowOff>28575</xdr:rowOff>
        </xdr:from>
        <xdr:to>
          <xdr:col>70</xdr:col>
          <xdr:colOff>133350</xdr:colOff>
          <xdr:row>89</xdr:row>
          <xdr:rowOff>57150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125</xdr:row>
      <xdr:rowOff>22412</xdr:rowOff>
    </xdr:from>
    <xdr:to>
      <xdr:col>58</xdr:col>
      <xdr:colOff>148335</xdr:colOff>
      <xdr:row>149</xdr:row>
      <xdr:rowOff>148317</xdr:rowOff>
    </xdr:to>
    <xdr:sp macro="" textlink="">
      <xdr:nvSpPr>
        <xdr:cNvPr id="18" name="Скругленный прямоугольник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92180" y="13090712"/>
          <a:ext cx="13176855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125</xdr:row>
      <xdr:rowOff>11406</xdr:rowOff>
    </xdr:from>
    <xdr:to>
      <xdr:col>58</xdr:col>
      <xdr:colOff>148335</xdr:colOff>
      <xdr:row>126</xdr:row>
      <xdr:rowOff>153323</xdr:rowOff>
    </xdr:to>
    <xdr:sp macro="" textlink="">
      <xdr:nvSpPr>
        <xdr:cNvPr id="19" name="Скругленный прямоугольник 1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3239" y="13079706"/>
          <a:ext cx="13175796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150</xdr:row>
      <xdr:rowOff>11006</xdr:rowOff>
    </xdr:from>
    <xdr:to>
      <xdr:col>58</xdr:col>
      <xdr:colOff>146655</xdr:colOff>
      <xdr:row>171</xdr:row>
      <xdr:rowOff>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0500" y="18032306"/>
          <a:ext cx="1317685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150</xdr:row>
      <xdr:rowOff>0</xdr:rowOff>
    </xdr:from>
    <xdr:to>
      <xdr:col>58</xdr:col>
      <xdr:colOff>146655</xdr:colOff>
      <xdr:row>151</xdr:row>
      <xdr:rowOff>109390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1559" y="18021300"/>
          <a:ext cx="1317579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155</xdr:row>
      <xdr:rowOff>95630</xdr:rowOff>
    </xdr:from>
    <xdr:to>
      <xdr:col>57</xdr:col>
      <xdr:colOff>147998</xdr:colOff>
      <xdr:row>155</xdr:row>
      <xdr:rowOff>103794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11284" y="190694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171</xdr:row>
      <xdr:rowOff>0</xdr:rowOff>
    </xdr:from>
    <xdr:to>
      <xdr:col>58</xdr:col>
      <xdr:colOff>146655</xdr:colOff>
      <xdr:row>184</xdr:row>
      <xdr:rowOff>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0500" y="22270366"/>
          <a:ext cx="1317685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171</xdr:row>
      <xdr:rowOff>0</xdr:rowOff>
    </xdr:from>
    <xdr:to>
      <xdr:col>58</xdr:col>
      <xdr:colOff>146655</xdr:colOff>
      <xdr:row>172</xdr:row>
      <xdr:rowOff>108297</xdr:rowOff>
    </xdr:to>
    <xdr:sp macro="" textlink="">
      <xdr:nvSpPr>
        <xdr:cNvPr id="24" name="Скругленный прямоугольник 23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91559" y="22259360"/>
          <a:ext cx="13175796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144</xdr:row>
          <xdr:rowOff>28575</xdr:rowOff>
        </xdr:from>
        <xdr:to>
          <xdr:col>70</xdr:col>
          <xdr:colOff>133350</xdr:colOff>
          <xdr:row>148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184</xdr:row>
      <xdr:rowOff>22412</xdr:rowOff>
    </xdr:from>
    <xdr:to>
      <xdr:col>58</xdr:col>
      <xdr:colOff>148335</xdr:colOff>
      <xdr:row>208</xdr:row>
      <xdr:rowOff>148317</xdr:rowOff>
    </xdr:to>
    <xdr:sp macro="" textlink="">
      <xdr:nvSpPr>
        <xdr:cNvPr id="26" name="Скругленный прямоугольник 2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92180" y="13090712"/>
          <a:ext cx="13176855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184</xdr:row>
      <xdr:rowOff>11406</xdr:rowOff>
    </xdr:from>
    <xdr:to>
      <xdr:col>58</xdr:col>
      <xdr:colOff>148335</xdr:colOff>
      <xdr:row>185</xdr:row>
      <xdr:rowOff>153323</xdr:rowOff>
    </xdr:to>
    <xdr:sp macro="" textlink="">
      <xdr:nvSpPr>
        <xdr:cNvPr id="27" name="Скругленный прямоугольник 26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3239" y="13079706"/>
          <a:ext cx="13175796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209</xdr:row>
      <xdr:rowOff>11006</xdr:rowOff>
    </xdr:from>
    <xdr:to>
      <xdr:col>58</xdr:col>
      <xdr:colOff>146655</xdr:colOff>
      <xdr:row>230</xdr:row>
      <xdr:rowOff>0</xdr:rowOff>
    </xdr:to>
    <xdr:sp macro="" textlink="">
      <xdr:nvSpPr>
        <xdr:cNvPr id="28" name="Скругленный прямоугольник 2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0500" y="18032306"/>
          <a:ext cx="1317685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209</xdr:row>
      <xdr:rowOff>0</xdr:rowOff>
    </xdr:from>
    <xdr:to>
      <xdr:col>58</xdr:col>
      <xdr:colOff>146655</xdr:colOff>
      <xdr:row>210</xdr:row>
      <xdr:rowOff>109390</xdr:rowOff>
    </xdr:to>
    <xdr:sp macro="" textlink="">
      <xdr:nvSpPr>
        <xdr:cNvPr id="29" name="Скругленный прямоугольник 2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1559" y="18021300"/>
          <a:ext cx="1317579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214</xdr:row>
      <xdr:rowOff>95630</xdr:rowOff>
    </xdr:from>
    <xdr:to>
      <xdr:col>57</xdr:col>
      <xdr:colOff>147998</xdr:colOff>
      <xdr:row>214</xdr:row>
      <xdr:rowOff>103794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11284" y="190694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230</xdr:row>
      <xdr:rowOff>0</xdr:rowOff>
    </xdr:from>
    <xdr:to>
      <xdr:col>58</xdr:col>
      <xdr:colOff>146655</xdr:colOff>
      <xdr:row>243</xdr:row>
      <xdr:rowOff>0</xdr:rowOff>
    </xdr:to>
    <xdr:sp macro="" textlink="">
      <xdr:nvSpPr>
        <xdr:cNvPr id="31" name="Скругленный прямоугольник 30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0500" y="22270366"/>
          <a:ext cx="1317685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230</xdr:row>
      <xdr:rowOff>0</xdr:rowOff>
    </xdr:from>
    <xdr:to>
      <xdr:col>58</xdr:col>
      <xdr:colOff>146655</xdr:colOff>
      <xdr:row>231</xdr:row>
      <xdr:rowOff>108297</xdr:rowOff>
    </xdr:to>
    <xdr:sp macro="" textlink="">
      <xdr:nvSpPr>
        <xdr:cNvPr id="32" name="Скругленный прямоугольник 3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91559" y="22259360"/>
          <a:ext cx="13175796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203</xdr:row>
          <xdr:rowOff>28575</xdr:rowOff>
        </xdr:from>
        <xdr:to>
          <xdr:col>70</xdr:col>
          <xdr:colOff>133350</xdr:colOff>
          <xdr:row>207</xdr:row>
          <xdr:rowOff>57150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243</xdr:row>
      <xdr:rowOff>22412</xdr:rowOff>
    </xdr:from>
    <xdr:to>
      <xdr:col>58</xdr:col>
      <xdr:colOff>148335</xdr:colOff>
      <xdr:row>267</xdr:row>
      <xdr:rowOff>148317</xdr:rowOff>
    </xdr:to>
    <xdr:sp macro="" textlink="">
      <xdr:nvSpPr>
        <xdr:cNvPr id="34" name="Скругленный прямоугольник 3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5787" y="1083769"/>
          <a:ext cx="11780762" cy="43618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243</xdr:row>
      <xdr:rowOff>11406</xdr:rowOff>
    </xdr:from>
    <xdr:to>
      <xdr:col>58</xdr:col>
      <xdr:colOff>148335</xdr:colOff>
      <xdr:row>244</xdr:row>
      <xdr:rowOff>153323</xdr:rowOff>
    </xdr:to>
    <xdr:sp macro="" textlink="">
      <xdr:nvSpPr>
        <xdr:cNvPr id="35" name="Скругленный прямоугольник 3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6846" y="1072763"/>
          <a:ext cx="11779703" cy="31881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262</xdr:row>
          <xdr:rowOff>28575</xdr:rowOff>
        </xdr:from>
        <xdr:to>
          <xdr:col>70</xdr:col>
          <xdr:colOff>123825</xdr:colOff>
          <xdr:row>266</xdr:row>
          <xdr:rowOff>57150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302</xdr:row>
      <xdr:rowOff>22412</xdr:rowOff>
    </xdr:from>
    <xdr:to>
      <xdr:col>58</xdr:col>
      <xdr:colOff>148335</xdr:colOff>
      <xdr:row>326</xdr:row>
      <xdr:rowOff>148317</xdr:rowOff>
    </xdr:to>
    <xdr:sp macro="" textlink="">
      <xdr:nvSpPr>
        <xdr:cNvPr id="40" name="Скругленный прямоугольник 3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11642912"/>
          <a:ext cx="12282625" cy="442896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302</xdr:row>
      <xdr:rowOff>11406</xdr:rowOff>
    </xdr:from>
    <xdr:to>
      <xdr:col>58</xdr:col>
      <xdr:colOff>148335</xdr:colOff>
      <xdr:row>303</xdr:row>
      <xdr:rowOff>153323</xdr:rowOff>
    </xdr:to>
    <xdr:sp macro="" textlink="">
      <xdr:nvSpPr>
        <xdr:cNvPr id="41" name="Скругленный прямоугольник 4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11631906"/>
          <a:ext cx="12281566" cy="32121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327</xdr:row>
      <xdr:rowOff>11006</xdr:rowOff>
    </xdr:from>
    <xdr:to>
      <xdr:col>58</xdr:col>
      <xdr:colOff>146655</xdr:colOff>
      <xdr:row>348</xdr:row>
      <xdr:rowOff>0</xdr:rowOff>
    </xdr:to>
    <xdr:sp macro="" textlink="">
      <xdr:nvSpPr>
        <xdr:cNvPr id="42" name="Скругленный прямоугольник 4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16091447"/>
          <a:ext cx="12282625" cy="3754171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327</xdr:row>
      <xdr:rowOff>0</xdr:rowOff>
    </xdr:from>
    <xdr:to>
      <xdr:col>58</xdr:col>
      <xdr:colOff>146655</xdr:colOff>
      <xdr:row>328</xdr:row>
      <xdr:rowOff>109390</xdr:rowOff>
    </xdr:to>
    <xdr:sp macro="" textlink="">
      <xdr:nvSpPr>
        <xdr:cNvPr id="43" name="Скругленный прямоугольник 4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16080441"/>
          <a:ext cx="12281566" cy="288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332</xdr:row>
      <xdr:rowOff>95630</xdr:rowOff>
    </xdr:from>
    <xdr:to>
      <xdr:col>57</xdr:col>
      <xdr:colOff>147998</xdr:colOff>
      <xdr:row>332</xdr:row>
      <xdr:rowOff>103794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17072542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348</xdr:row>
      <xdr:rowOff>0</xdr:rowOff>
    </xdr:from>
    <xdr:to>
      <xdr:col>58</xdr:col>
      <xdr:colOff>146655</xdr:colOff>
      <xdr:row>361</xdr:row>
      <xdr:rowOff>0</xdr:rowOff>
    </xdr:to>
    <xdr:sp macro="" textlink="">
      <xdr:nvSpPr>
        <xdr:cNvPr id="45" name="Скругленный прямоугольник 44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19845618"/>
          <a:ext cx="12282625" cy="233082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348</xdr:row>
      <xdr:rowOff>0</xdr:rowOff>
    </xdr:from>
    <xdr:to>
      <xdr:col>58</xdr:col>
      <xdr:colOff>146655</xdr:colOff>
      <xdr:row>349</xdr:row>
      <xdr:rowOff>108297</xdr:rowOff>
    </xdr:to>
    <xdr:sp macro="" textlink="">
      <xdr:nvSpPr>
        <xdr:cNvPr id="46" name="Скругленный прямоугольник 45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19845618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321</xdr:row>
          <xdr:rowOff>28575</xdr:rowOff>
        </xdr:from>
        <xdr:to>
          <xdr:col>70</xdr:col>
          <xdr:colOff>133350</xdr:colOff>
          <xdr:row>325</xdr:row>
          <xdr:rowOff>57150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361</xdr:row>
      <xdr:rowOff>22412</xdr:rowOff>
    </xdr:from>
    <xdr:to>
      <xdr:col>58</xdr:col>
      <xdr:colOff>148335</xdr:colOff>
      <xdr:row>385</xdr:row>
      <xdr:rowOff>148317</xdr:rowOff>
    </xdr:to>
    <xdr:sp macro="" textlink="">
      <xdr:nvSpPr>
        <xdr:cNvPr id="48" name="Скругленный прямоугольник 4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22198853"/>
          <a:ext cx="12282625" cy="441943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361</xdr:row>
      <xdr:rowOff>11406</xdr:rowOff>
    </xdr:from>
    <xdr:to>
      <xdr:col>58</xdr:col>
      <xdr:colOff>148335</xdr:colOff>
      <xdr:row>362</xdr:row>
      <xdr:rowOff>153323</xdr:rowOff>
    </xdr:to>
    <xdr:sp macro="" textlink="">
      <xdr:nvSpPr>
        <xdr:cNvPr id="49" name="Скругленный прямоугольник 4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22187847"/>
          <a:ext cx="12281566" cy="32121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386</xdr:row>
      <xdr:rowOff>11006</xdr:rowOff>
    </xdr:from>
    <xdr:to>
      <xdr:col>58</xdr:col>
      <xdr:colOff>146655</xdr:colOff>
      <xdr:row>407</xdr:row>
      <xdr:rowOff>0</xdr:rowOff>
    </xdr:to>
    <xdr:sp macro="" textlink="">
      <xdr:nvSpPr>
        <xdr:cNvPr id="50" name="Скругленный прямоугольник 4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26636182"/>
          <a:ext cx="12282625" cy="3754171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386</xdr:row>
      <xdr:rowOff>0</xdr:rowOff>
    </xdr:from>
    <xdr:to>
      <xdr:col>58</xdr:col>
      <xdr:colOff>146655</xdr:colOff>
      <xdr:row>387</xdr:row>
      <xdr:rowOff>109390</xdr:rowOff>
    </xdr:to>
    <xdr:sp macro="" textlink="">
      <xdr:nvSpPr>
        <xdr:cNvPr id="51" name="Скругленный прямоугольник 5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26625176"/>
          <a:ext cx="12281566" cy="28868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391</xdr:row>
      <xdr:rowOff>95630</xdr:rowOff>
    </xdr:from>
    <xdr:to>
      <xdr:col>57</xdr:col>
      <xdr:colOff>147998</xdr:colOff>
      <xdr:row>391</xdr:row>
      <xdr:rowOff>103794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27617277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407</xdr:row>
      <xdr:rowOff>0</xdr:rowOff>
    </xdr:from>
    <xdr:to>
      <xdr:col>58</xdr:col>
      <xdr:colOff>146655</xdr:colOff>
      <xdr:row>420</xdr:row>
      <xdr:rowOff>0</xdr:rowOff>
    </xdr:to>
    <xdr:sp macro="" textlink="">
      <xdr:nvSpPr>
        <xdr:cNvPr id="53" name="Скругленный прямоугольник 52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30390353"/>
          <a:ext cx="12282625" cy="233082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407</xdr:row>
      <xdr:rowOff>0</xdr:rowOff>
    </xdr:from>
    <xdr:to>
      <xdr:col>58</xdr:col>
      <xdr:colOff>146655</xdr:colOff>
      <xdr:row>408</xdr:row>
      <xdr:rowOff>108297</xdr:rowOff>
    </xdr:to>
    <xdr:sp macro="" textlink="">
      <xdr:nvSpPr>
        <xdr:cNvPr id="54" name="Скругленный прямоугольник 53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30390353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380</xdr:row>
          <xdr:rowOff>28575</xdr:rowOff>
        </xdr:from>
        <xdr:to>
          <xdr:col>70</xdr:col>
          <xdr:colOff>133350</xdr:colOff>
          <xdr:row>384</xdr:row>
          <xdr:rowOff>57150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420</xdr:row>
      <xdr:rowOff>22412</xdr:rowOff>
    </xdr:from>
    <xdr:to>
      <xdr:col>58</xdr:col>
      <xdr:colOff>148335</xdr:colOff>
      <xdr:row>444</xdr:row>
      <xdr:rowOff>148317</xdr:rowOff>
    </xdr:to>
    <xdr:sp macro="" textlink="">
      <xdr:nvSpPr>
        <xdr:cNvPr id="56" name="Скругленный прямоугольник 5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32743588"/>
          <a:ext cx="12282625" cy="441943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420</xdr:row>
      <xdr:rowOff>11406</xdr:rowOff>
    </xdr:from>
    <xdr:to>
      <xdr:col>58</xdr:col>
      <xdr:colOff>148335</xdr:colOff>
      <xdr:row>421</xdr:row>
      <xdr:rowOff>153323</xdr:rowOff>
    </xdr:to>
    <xdr:sp macro="" textlink="">
      <xdr:nvSpPr>
        <xdr:cNvPr id="57" name="Скругленный прямоугольник 56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32732582"/>
          <a:ext cx="12281566" cy="3212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5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445</xdr:row>
      <xdr:rowOff>11006</xdr:rowOff>
    </xdr:from>
    <xdr:to>
      <xdr:col>58</xdr:col>
      <xdr:colOff>146655</xdr:colOff>
      <xdr:row>466</xdr:row>
      <xdr:rowOff>0</xdr:rowOff>
    </xdr:to>
    <xdr:sp macro="" textlink="">
      <xdr:nvSpPr>
        <xdr:cNvPr id="58" name="Скругленный прямоугольник 5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37180918"/>
          <a:ext cx="12282625" cy="375417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445</xdr:row>
      <xdr:rowOff>0</xdr:rowOff>
    </xdr:from>
    <xdr:to>
      <xdr:col>58</xdr:col>
      <xdr:colOff>146655</xdr:colOff>
      <xdr:row>446</xdr:row>
      <xdr:rowOff>109390</xdr:rowOff>
    </xdr:to>
    <xdr:sp macro="" textlink="">
      <xdr:nvSpPr>
        <xdr:cNvPr id="59" name="Скругленный прямоугольник 5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37169912"/>
          <a:ext cx="12281566" cy="288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450</xdr:row>
      <xdr:rowOff>95630</xdr:rowOff>
    </xdr:from>
    <xdr:to>
      <xdr:col>57</xdr:col>
      <xdr:colOff>147998</xdr:colOff>
      <xdr:row>450</xdr:row>
      <xdr:rowOff>103794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38162012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466</xdr:row>
      <xdr:rowOff>0</xdr:rowOff>
    </xdr:from>
    <xdr:to>
      <xdr:col>58</xdr:col>
      <xdr:colOff>146655</xdr:colOff>
      <xdr:row>479</xdr:row>
      <xdr:rowOff>0</xdr:rowOff>
    </xdr:to>
    <xdr:sp macro="" textlink="">
      <xdr:nvSpPr>
        <xdr:cNvPr id="61" name="Скругленный прямоугольник 60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40935088"/>
          <a:ext cx="12282625" cy="233082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466</xdr:row>
      <xdr:rowOff>0</xdr:rowOff>
    </xdr:from>
    <xdr:to>
      <xdr:col>58</xdr:col>
      <xdr:colOff>146655</xdr:colOff>
      <xdr:row>467</xdr:row>
      <xdr:rowOff>108297</xdr:rowOff>
    </xdr:to>
    <xdr:sp macro="" textlink="">
      <xdr:nvSpPr>
        <xdr:cNvPr id="62" name="Скругленный прямоугольник 6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40935088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439</xdr:row>
          <xdr:rowOff>28575</xdr:rowOff>
        </xdr:from>
        <xdr:to>
          <xdr:col>70</xdr:col>
          <xdr:colOff>133350</xdr:colOff>
          <xdr:row>443</xdr:row>
          <xdr:rowOff>57150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268</xdr:row>
      <xdr:rowOff>11006</xdr:rowOff>
    </xdr:from>
    <xdr:to>
      <xdr:col>58</xdr:col>
      <xdr:colOff>146655</xdr:colOff>
      <xdr:row>289</xdr:row>
      <xdr:rowOff>0</xdr:rowOff>
    </xdr:to>
    <xdr:sp macro="" textlink="">
      <xdr:nvSpPr>
        <xdr:cNvPr id="64" name="Скругленный прямоугольник 6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4107" y="5467470"/>
          <a:ext cx="11780762" cy="370374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268</xdr:row>
      <xdr:rowOff>0</xdr:rowOff>
    </xdr:from>
    <xdr:to>
      <xdr:col>58</xdr:col>
      <xdr:colOff>146655</xdr:colOff>
      <xdr:row>269</xdr:row>
      <xdr:rowOff>109390</xdr:rowOff>
    </xdr:to>
    <xdr:sp macro="" textlink="">
      <xdr:nvSpPr>
        <xdr:cNvPr id="65" name="Скругленный прямоугольник 6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5166" y="5456464"/>
          <a:ext cx="11779703" cy="286283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273</xdr:row>
      <xdr:rowOff>95630</xdr:rowOff>
    </xdr:from>
    <xdr:to>
      <xdr:col>57</xdr:col>
      <xdr:colOff>147998</xdr:colOff>
      <xdr:row>273</xdr:row>
      <xdr:rowOff>103794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V="1">
          <a:off x="324891" y="6436559"/>
          <a:ext cx="114572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289</xdr:row>
      <xdr:rowOff>0</xdr:rowOff>
    </xdr:from>
    <xdr:to>
      <xdr:col>58</xdr:col>
      <xdr:colOff>146655</xdr:colOff>
      <xdr:row>302</xdr:row>
      <xdr:rowOff>0</xdr:rowOff>
    </xdr:to>
    <xdr:sp macro="" textlink="">
      <xdr:nvSpPr>
        <xdr:cNvPr id="67" name="Скругленный прямоугольник 6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4107" y="9171214"/>
          <a:ext cx="11780762" cy="2299607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289</xdr:row>
      <xdr:rowOff>0</xdr:rowOff>
    </xdr:from>
    <xdr:to>
      <xdr:col>58</xdr:col>
      <xdr:colOff>146655</xdr:colOff>
      <xdr:row>290</xdr:row>
      <xdr:rowOff>108297</xdr:rowOff>
    </xdr:to>
    <xdr:sp macro="" textlink="">
      <xdr:nvSpPr>
        <xdr:cNvPr id="68" name="Скругленный прямоугольник 6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05166" y="9171214"/>
          <a:ext cx="11779703" cy="2851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vasilev/Desktop/&#1052;&#1086;&#1080;%20&#1076;&#1086;&#1082;&#1091;&#1084;&#1077;&#1085;&#1090;&#1099;/!!!&#1040;&#1053;&#1050;&#1045;&#1058;&#1040;%20&#1045;&#1048;&#1054;_110817!!!/&#1040;&#1045;&#1048;&#1054;_&#1092;&#1080;&#1085;&#1072;&#1083;&#1100;&#1085;&#1072;&#1103;/&#1040;&#1085;&#1082;&#1077;&#1090;&#1072;%20&#1077;&#1076;&#1080;&#1085;&#1086;&#1083;&#1080;&#1095;&#1085;&#1086;&#1075;&#1086;%20&#1080;&#1089;&#1087;&#1086;&#1083;&#1085;&#1080;&#1090;&#1077;&#1083;&#1100;&#1085;&#1086;&#1075;&#1086;%20&#1086;&#1088;&#1075;&#1072;&#1085;&#1072;%20v.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нкета"/>
      <sheetName val="List"/>
      <sheetName val="vstavka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DV110"/>
  <sheetViews>
    <sheetView showGridLines="0" tabSelected="1" view="pageBreakPreview" topLeftCell="A76" zoomScale="80" zoomScaleNormal="70" zoomScaleSheetLayoutView="80" zoomScalePageLayoutView="70" workbookViewId="0">
      <selection activeCell="C76" sqref="C76:BF106"/>
    </sheetView>
  </sheetViews>
  <sheetFormatPr defaultColWidth="3" defaultRowHeight="14.25" customHeight="1" x14ac:dyDescent="0.25"/>
  <cols>
    <col min="1" max="75" width="3.140625" style="27" customWidth="1"/>
    <col min="76" max="16384" width="3" style="27"/>
  </cols>
  <sheetData>
    <row r="1" spans="2:126" ht="6" customHeight="1" x14ac:dyDescent="0.25"/>
    <row r="2" spans="2:126" ht="7.5" customHeight="1" x14ac:dyDescent="0.25"/>
    <row r="3" spans="2:126" ht="3" customHeight="1" x14ac:dyDescent="0.25"/>
    <row r="8" spans="2:126" ht="8.25" customHeight="1" x14ac:dyDescent="0.25"/>
    <row r="9" spans="2:126" ht="23.25" x14ac:dyDescent="0.35">
      <c r="B9" s="168" t="s">
        <v>367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  <c r="AX9" s="168"/>
      <c r="AY9" s="168"/>
      <c r="AZ9" s="168"/>
      <c r="BA9" s="168"/>
      <c r="BB9" s="168"/>
      <c r="BC9" s="168"/>
      <c r="BD9" s="168"/>
      <c r="BE9" s="168"/>
      <c r="BF9" s="168"/>
      <c r="DM9" s="48"/>
      <c r="DN9" s="48"/>
      <c r="DO9" s="48"/>
      <c r="DP9" s="48"/>
      <c r="DQ9" s="48"/>
      <c r="DR9" s="48"/>
      <c r="DS9" s="48"/>
      <c r="DT9" s="48"/>
      <c r="DU9" s="48"/>
      <c r="DV9" s="48"/>
    </row>
    <row r="10" spans="2:126" ht="14.25" customHeight="1" x14ac:dyDescent="0.25">
      <c r="DM10" s="48"/>
      <c r="DN10" s="48"/>
      <c r="DO10" s="48"/>
      <c r="DP10" s="48"/>
      <c r="DQ10" s="48"/>
      <c r="DR10" s="48"/>
      <c r="DS10" s="48"/>
      <c r="DT10" s="48"/>
      <c r="DU10" s="48"/>
      <c r="DV10" s="48"/>
    </row>
    <row r="11" spans="2:126" ht="14.25" customHeight="1" x14ac:dyDescent="0.25">
      <c r="DM11" s="48"/>
      <c r="DN11" s="48"/>
      <c r="DO11" s="48"/>
      <c r="DP11" s="48"/>
      <c r="DQ11" s="48"/>
      <c r="DR11" s="48"/>
      <c r="DS11" s="48"/>
      <c r="DT11" s="48"/>
      <c r="DU11" s="48"/>
      <c r="DV11" s="48"/>
    </row>
    <row r="12" spans="2:126" ht="14.25" customHeight="1" x14ac:dyDescent="0.25">
      <c r="DM12" s="48"/>
      <c r="DN12" s="48"/>
      <c r="DO12" s="48"/>
      <c r="DP12" s="48"/>
      <c r="DQ12" s="48"/>
      <c r="DR12" s="48"/>
      <c r="DS12" s="48"/>
      <c r="DT12" s="48"/>
      <c r="DU12" s="48"/>
      <c r="DV12" s="48"/>
    </row>
    <row r="13" spans="2:126" ht="14.25" customHeight="1" x14ac:dyDescent="0.25"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DM13" s="48"/>
      <c r="DN13" s="48"/>
      <c r="DO13" s="48"/>
      <c r="DP13" s="48"/>
      <c r="DQ13" s="48"/>
      <c r="DR13" s="48"/>
      <c r="DS13" s="48"/>
      <c r="DT13" s="48"/>
      <c r="DU13" s="48"/>
      <c r="DV13" s="48"/>
    </row>
    <row r="14" spans="2:126" ht="14.25" customHeight="1" x14ac:dyDescent="0.25">
      <c r="B14" s="44"/>
      <c r="C14" s="160" t="s">
        <v>0</v>
      </c>
      <c r="D14" s="160"/>
      <c r="E14" s="160"/>
      <c r="F14" s="160"/>
      <c r="G14" s="160"/>
      <c r="H14" s="175"/>
      <c r="I14" s="169"/>
      <c r="J14" s="170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  <c r="W14" s="170"/>
      <c r="X14" s="170"/>
      <c r="Y14" s="170"/>
      <c r="Z14" s="170"/>
      <c r="AA14" s="170"/>
      <c r="AB14" s="170"/>
      <c r="AC14" s="171"/>
      <c r="AD14" s="42"/>
      <c r="AE14" s="160" t="s">
        <v>4</v>
      </c>
      <c r="AF14" s="161"/>
      <c r="AG14" s="161"/>
      <c r="AH14" s="161"/>
      <c r="AI14" s="161"/>
      <c r="AJ14" s="176"/>
      <c r="AK14" s="177"/>
      <c r="AL14" s="94"/>
      <c r="AM14" s="95"/>
      <c r="AN14" s="95"/>
      <c r="AO14" s="95"/>
      <c r="AP14" s="96"/>
      <c r="AQ14" s="178" t="s">
        <v>6</v>
      </c>
      <c r="AR14" s="161"/>
      <c r="AS14" s="161"/>
      <c r="AT14" s="161"/>
      <c r="AU14" s="161"/>
      <c r="AV14" s="177"/>
      <c r="AW14" s="169" t="s">
        <v>7</v>
      </c>
      <c r="AX14" s="170"/>
      <c r="AY14" s="170"/>
      <c r="AZ14" s="170"/>
      <c r="BA14" s="170"/>
      <c r="BB14" s="170"/>
      <c r="BC14" s="170"/>
      <c r="BD14" s="170"/>
      <c r="BE14" s="170"/>
      <c r="BF14" s="171"/>
      <c r="DM14" s="48"/>
      <c r="DN14" s="48"/>
      <c r="DO14" s="48"/>
      <c r="DP14" s="48"/>
      <c r="DQ14" s="48"/>
      <c r="DR14" s="48"/>
      <c r="DS14" s="48"/>
      <c r="DT14" s="48"/>
      <c r="DU14" s="48"/>
      <c r="DV14" s="48"/>
    </row>
    <row r="15" spans="2:126" ht="14.25" customHeight="1" x14ac:dyDescent="0.25">
      <c r="B15" s="44"/>
      <c r="C15" s="160"/>
      <c r="D15" s="160"/>
      <c r="E15" s="160"/>
      <c r="F15" s="160"/>
      <c r="G15" s="160"/>
      <c r="H15" s="175"/>
      <c r="I15" s="172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4"/>
      <c r="AD15" s="42"/>
      <c r="AE15" s="161"/>
      <c r="AF15" s="161"/>
      <c r="AG15" s="161"/>
      <c r="AH15" s="161"/>
      <c r="AI15" s="161"/>
      <c r="AJ15" s="176"/>
      <c r="AK15" s="177"/>
      <c r="AL15" s="97"/>
      <c r="AM15" s="98"/>
      <c r="AN15" s="98"/>
      <c r="AO15" s="98"/>
      <c r="AP15" s="99"/>
      <c r="AQ15" s="179"/>
      <c r="AR15" s="161"/>
      <c r="AS15" s="161"/>
      <c r="AT15" s="161"/>
      <c r="AU15" s="161"/>
      <c r="AV15" s="177"/>
      <c r="AW15" s="172"/>
      <c r="AX15" s="173"/>
      <c r="AY15" s="173"/>
      <c r="AZ15" s="173"/>
      <c r="BA15" s="173"/>
      <c r="BB15" s="173"/>
      <c r="BC15" s="173"/>
      <c r="BD15" s="173"/>
      <c r="BE15" s="173"/>
      <c r="BF15" s="174"/>
      <c r="DM15" s="48"/>
      <c r="DN15" s="48"/>
      <c r="DO15" s="48"/>
      <c r="DP15" s="48"/>
      <c r="DQ15" s="48"/>
      <c r="DR15" s="48"/>
      <c r="DS15" s="48"/>
      <c r="DT15" s="48"/>
      <c r="DU15" s="48"/>
      <c r="DV15" s="48"/>
    </row>
    <row r="16" spans="2:126" ht="14.25" customHeight="1" x14ac:dyDescent="0.25"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DM16" s="48"/>
      <c r="DN16" s="48"/>
      <c r="DO16" s="48"/>
      <c r="DP16" s="48"/>
      <c r="DQ16" s="48"/>
      <c r="DR16" s="48"/>
      <c r="DS16" s="48"/>
      <c r="DT16" s="48"/>
      <c r="DU16" s="48"/>
      <c r="DV16" s="48"/>
    </row>
    <row r="17" spans="1:126" ht="14.25" customHeight="1" x14ac:dyDescent="0.25">
      <c r="B17" s="44"/>
      <c r="C17" s="160" t="s">
        <v>2</v>
      </c>
      <c r="D17" s="160"/>
      <c r="E17" s="160"/>
      <c r="F17" s="160"/>
      <c r="G17" s="160"/>
      <c r="H17" s="42"/>
      <c r="I17" s="169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70"/>
      <c r="AA17" s="170"/>
      <c r="AB17" s="170"/>
      <c r="AC17" s="171"/>
      <c r="AD17" s="42"/>
      <c r="AE17" s="160" t="s">
        <v>1</v>
      </c>
      <c r="AF17" s="161"/>
      <c r="AG17" s="161"/>
      <c r="AH17" s="161"/>
      <c r="AI17" s="161"/>
      <c r="AJ17" s="161"/>
      <c r="AK17" s="177"/>
      <c r="AL17" s="169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1"/>
      <c r="DM17" s="48"/>
      <c r="DN17" s="48"/>
      <c r="DO17" s="48"/>
      <c r="DP17" s="48"/>
      <c r="DQ17" s="48"/>
      <c r="DR17" s="48"/>
      <c r="DS17" s="48"/>
      <c r="DT17" s="48"/>
      <c r="DU17" s="48"/>
      <c r="DV17" s="48"/>
    </row>
    <row r="18" spans="1:126" ht="14.25" customHeight="1" x14ac:dyDescent="0.25">
      <c r="B18" s="44"/>
      <c r="C18" s="160"/>
      <c r="D18" s="160"/>
      <c r="E18" s="160"/>
      <c r="F18" s="160"/>
      <c r="G18" s="160"/>
      <c r="H18" s="42"/>
      <c r="I18" s="172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4"/>
      <c r="AD18" s="42"/>
      <c r="AE18" s="161"/>
      <c r="AF18" s="161"/>
      <c r="AG18" s="161"/>
      <c r="AH18" s="161"/>
      <c r="AI18" s="161"/>
      <c r="AJ18" s="161"/>
      <c r="AK18" s="177"/>
      <c r="AL18" s="172"/>
      <c r="AM18" s="173"/>
      <c r="AN18" s="173"/>
      <c r="AO18" s="173"/>
      <c r="AP18" s="173"/>
      <c r="AQ18" s="173"/>
      <c r="AR18" s="173"/>
      <c r="AS18" s="173"/>
      <c r="AT18" s="173"/>
      <c r="AU18" s="173"/>
      <c r="AV18" s="173"/>
      <c r="AW18" s="173"/>
      <c r="AX18" s="173"/>
      <c r="AY18" s="173"/>
      <c r="AZ18" s="173"/>
      <c r="BA18" s="173"/>
      <c r="BB18" s="173"/>
      <c r="BC18" s="173"/>
      <c r="BD18" s="173"/>
      <c r="BE18" s="173"/>
      <c r="BF18" s="174"/>
      <c r="DM18" s="48"/>
      <c r="DN18" s="48"/>
      <c r="DO18" s="48"/>
      <c r="DP18" s="48"/>
      <c r="DQ18" s="48"/>
      <c r="DR18" s="48"/>
      <c r="DS18" s="48"/>
      <c r="DT18" s="48"/>
      <c r="DU18" s="48"/>
      <c r="DV18" s="48"/>
    </row>
    <row r="19" spans="1:126" ht="14.25" customHeight="1" x14ac:dyDescent="0.25"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DM19" s="48"/>
      <c r="DN19" s="48"/>
      <c r="DO19" s="48"/>
      <c r="DP19" s="48"/>
      <c r="DQ19" s="48"/>
      <c r="DR19" s="48"/>
      <c r="DS19" s="48"/>
      <c r="DT19" s="48"/>
      <c r="DU19" s="48"/>
      <c r="DV19" s="48"/>
    </row>
    <row r="20" spans="1:126" ht="14.25" customHeight="1" x14ac:dyDescent="0.25">
      <c r="B20" s="44"/>
      <c r="C20" s="160" t="s">
        <v>3</v>
      </c>
      <c r="D20" s="160"/>
      <c r="E20" s="160"/>
      <c r="F20" s="160"/>
      <c r="G20" s="160"/>
      <c r="H20" s="42"/>
      <c r="I20" s="169"/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170"/>
      <c r="AC20" s="171"/>
      <c r="AD20" s="42"/>
      <c r="AE20" s="160" t="s">
        <v>5</v>
      </c>
      <c r="AF20" s="161"/>
      <c r="AG20" s="161"/>
      <c r="AH20" s="161"/>
      <c r="AI20" s="161"/>
      <c r="AJ20" s="161"/>
      <c r="AK20" s="42"/>
      <c r="AL20" s="188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90"/>
      <c r="DM20" s="48"/>
      <c r="DN20" s="48"/>
      <c r="DO20" s="48"/>
      <c r="DP20" s="48"/>
      <c r="DQ20" s="48"/>
      <c r="DR20" s="48"/>
      <c r="DS20" s="48"/>
      <c r="DT20" s="48"/>
      <c r="DU20" s="48"/>
      <c r="DV20" s="48"/>
    </row>
    <row r="21" spans="1:126" ht="14.25" customHeight="1" x14ac:dyDescent="0.25">
      <c r="B21" s="44"/>
      <c r="C21" s="160"/>
      <c r="D21" s="160"/>
      <c r="E21" s="160"/>
      <c r="F21" s="160"/>
      <c r="G21" s="160"/>
      <c r="H21" s="42"/>
      <c r="I21" s="172"/>
      <c r="J21" s="173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3"/>
      <c r="AB21" s="173"/>
      <c r="AC21" s="174"/>
      <c r="AD21" s="42"/>
      <c r="AE21" s="161"/>
      <c r="AF21" s="161"/>
      <c r="AG21" s="161"/>
      <c r="AH21" s="161"/>
      <c r="AI21" s="161"/>
      <c r="AJ21" s="161"/>
      <c r="AK21" s="42"/>
      <c r="AL21" s="191"/>
      <c r="AM21" s="192"/>
      <c r="AN21" s="192"/>
      <c r="AO21" s="192"/>
      <c r="AP21" s="192"/>
      <c r="AQ21" s="192"/>
      <c r="AR21" s="192"/>
      <c r="AS21" s="192"/>
      <c r="AT21" s="192"/>
      <c r="AU21" s="192"/>
      <c r="AV21" s="192"/>
      <c r="AW21" s="192"/>
      <c r="AX21" s="192"/>
      <c r="AY21" s="192"/>
      <c r="AZ21" s="192"/>
      <c r="BA21" s="192"/>
      <c r="BB21" s="192"/>
      <c r="BC21" s="192"/>
      <c r="BD21" s="192"/>
      <c r="BE21" s="192"/>
      <c r="BF21" s="193"/>
      <c r="DM21" s="48"/>
      <c r="DN21" s="48"/>
      <c r="DO21" s="48"/>
      <c r="DP21" s="48"/>
      <c r="DQ21" s="48"/>
      <c r="DR21" s="48"/>
      <c r="DS21" s="48"/>
      <c r="DT21" s="48"/>
      <c r="DU21" s="48"/>
      <c r="DV21" s="48"/>
    </row>
    <row r="22" spans="1:126" ht="14.25" customHeight="1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DM22" s="48"/>
      <c r="DN22" s="48"/>
      <c r="DO22" s="48"/>
      <c r="DP22" s="48"/>
      <c r="DQ22" s="48"/>
      <c r="DR22" s="48"/>
      <c r="DS22" s="48"/>
      <c r="DT22" s="48"/>
      <c r="DU22" s="48"/>
      <c r="DV22" s="48"/>
    </row>
    <row r="23" spans="1:126" ht="14.25" customHeight="1" x14ac:dyDescent="0.25">
      <c r="B23" s="44"/>
      <c r="C23" s="180" t="s">
        <v>339</v>
      </c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2" t="s">
        <v>12</v>
      </c>
      <c r="R23" s="183"/>
      <c r="S23" s="184"/>
      <c r="T23" s="5"/>
      <c r="U23" s="5"/>
      <c r="V23" s="5"/>
      <c r="W23" s="5"/>
      <c r="X23" s="5"/>
      <c r="Y23" s="44"/>
      <c r="Z23" s="44"/>
      <c r="AA23" s="44"/>
      <c r="AB23" s="44"/>
      <c r="AC23" s="44"/>
      <c r="AD23" s="44"/>
      <c r="AE23" s="160" t="s">
        <v>340</v>
      </c>
      <c r="AF23" s="161"/>
      <c r="AG23" s="161"/>
      <c r="AH23" s="161"/>
      <c r="AI23" s="161"/>
      <c r="AJ23" s="176"/>
      <c r="AK23" s="177"/>
      <c r="AL23" s="94" t="s">
        <v>342</v>
      </c>
      <c r="AM23" s="95"/>
      <c r="AN23" s="95"/>
      <c r="AO23" s="95"/>
      <c r="AP23" s="96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DM23" s="48"/>
      <c r="DN23" s="48"/>
      <c r="DO23" s="48"/>
      <c r="DP23" s="48"/>
      <c r="DQ23" s="48"/>
      <c r="DR23" s="48"/>
      <c r="DS23" s="48"/>
      <c r="DT23" s="48"/>
      <c r="DU23" s="48"/>
      <c r="DV23" s="48"/>
    </row>
    <row r="24" spans="1:126" ht="14.25" customHeight="1" x14ac:dyDescent="0.25">
      <c r="B24" s="32"/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5"/>
      <c r="R24" s="186"/>
      <c r="S24" s="187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6"/>
      <c r="AE24" s="161"/>
      <c r="AF24" s="161"/>
      <c r="AG24" s="161"/>
      <c r="AH24" s="161"/>
      <c r="AI24" s="161"/>
      <c r="AJ24" s="176"/>
      <c r="AK24" s="177"/>
      <c r="AL24" s="97"/>
      <c r="AM24" s="98"/>
      <c r="AN24" s="98"/>
      <c r="AO24" s="98"/>
      <c r="AP24" s="99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DM24" s="48"/>
      <c r="DN24" s="48"/>
      <c r="DO24" s="48"/>
      <c r="DP24" s="48"/>
      <c r="DQ24" s="48"/>
      <c r="DR24" s="48"/>
      <c r="DS24" s="48"/>
      <c r="DT24" s="48"/>
      <c r="DU24" s="48"/>
      <c r="DV24" s="48"/>
    </row>
    <row r="25" spans="1:126" ht="14.25" customHeight="1" x14ac:dyDescent="0.25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7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</row>
    <row r="26" spans="1:126" ht="14.25" customHeight="1" x14ac:dyDescent="0.25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</row>
    <row r="27" spans="1:126" ht="14.25" customHeight="1" x14ac:dyDescent="0.25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</row>
    <row r="28" spans="1:126" ht="14.25" customHeight="1" x14ac:dyDescent="0.25">
      <c r="A28" s="92"/>
      <c r="B28" s="92"/>
      <c r="C28" s="160" t="s">
        <v>338</v>
      </c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92"/>
      <c r="W28" s="94"/>
      <c r="X28" s="95"/>
      <c r="Y28" s="95"/>
      <c r="Z28" s="95"/>
      <c r="AA28" s="95"/>
      <c r="AB28" s="95"/>
      <c r="AC28" s="95"/>
      <c r="AD28" s="96"/>
      <c r="AG28" s="162" t="s">
        <v>344</v>
      </c>
      <c r="AH28" s="162"/>
      <c r="AI28" s="162"/>
      <c r="AJ28" s="162"/>
      <c r="AK28" s="115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7"/>
      <c r="BG28" s="92"/>
    </row>
    <row r="29" spans="1:126" ht="14.25" customHeight="1" x14ac:dyDescent="0.25">
      <c r="A29" s="92"/>
      <c r="B29" s="92"/>
      <c r="C29" s="161"/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92"/>
      <c r="W29" s="97"/>
      <c r="X29" s="98"/>
      <c r="Y29" s="98"/>
      <c r="Z29" s="98"/>
      <c r="AA29" s="98"/>
      <c r="AB29" s="98"/>
      <c r="AC29" s="98"/>
      <c r="AD29" s="99"/>
      <c r="AG29" s="162"/>
      <c r="AH29" s="162"/>
      <c r="AI29" s="162"/>
      <c r="AJ29" s="162"/>
      <c r="AK29" s="118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20"/>
      <c r="BG29" s="92"/>
    </row>
    <row r="30" spans="1:126" ht="14.25" customHeight="1" x14ac:dyDescent="0.25">
      <c r="A30" s="92"/>
      <c r="B30" s="92"/>
      <c r="C30" s="92"/>
      <c r="D30" s="92"/>
      <c r="E30" s="92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2"/>
      <c r="W30" s="46"/>
      <c r="X30" s="46"/>
      <c r="Y30" s="46"/>
      <c r="Z30" s="46"/>
      <c r="AA30" s="46"/>
      <c r="AB30" s="46"/>
      <c r="AC30" s="46"/>
      <c r="AD30" s="21"/>
      <c r="AE30" s="21"/>
      <c r="AF30" s="21"/>
      <c r="AG30" s="31"/>
      <c r="AH30" s="31"/>
      <c r="AI30" s="31"/>
      <c r="AJ30" s="31"/>
      <c r="AK30" s="31"/>
      <c r="AL30" s="31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2"/>
      <c r="AY30" s="25"/>
      <c r="AZ30" s="25"/>
      <c r="BA30" s="25"/>
      <c r="BB30" s="25"/>
      <c r="BC30" s="25"/>
      <c r="BD30" s="25"/>
      <c r="BE30" s="25"/>
      <c r="BF30" s="25"/>
      <c r="BG30" s="92"/>
    </row>
    <row r="31" spans="1:126" ht="14.25" customHeight="1" x14ac:dyDescent="0.25">
      <c r="A31" s="92"/>
      <c r="B31" s="92"/>
      <c r="C31" s="143" t="s">
        <v>345</v>
      </c>
      <c r="D31" s="143"/>
      <c r="E31" s="143"/>
      <c r="F31" s="143"/>
      <c r="G31" s="143"/>
      <c r="H31" s="92"/>
      <c r="I31" s="100" t="s">
        <v>31</v>
      </c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2"/>
      <c r="W31" s="145" t="s">
        <v>346</v>
      </c>
      <c r="X31" s="163"/>
      <c r="Y31" s="163"/>
      <c r="Z31" s="164"/>
      <c r="AA31" s="115"/>
      <c r="AB31" s="116"/>
      <c r="AC31" s="116"/>
      <c r="AD31" s="116"/>
      <c r="AE31" s="116"/>
      <c r="AF31" s="116"/>
      <c r="AG31" s="117"/>
      <c r="AH31" s="145" t="s">
        <v>347</v>
      </c>
      <c r="AI31" s="163"/>
      <c r="AJ31" s="163"/>
      <c r="AK31" s="164"/>
      <c r="AL31" s="115"/>
      <c r="AM31" s="116"/>
      <c r="AN31" s="116"/>
      <c r="AO31" s="116"/>
      <c r="AP31" s="116"/>
      <c r="AQ31" s="116"/>
      <c r="AR31" s="117"/>
      <c r="AS31" s="165" t="s">
        <v>348</v>
      </c>
      <c r="AT31" s="166"/>
      <c r="AU31" s="166"/>
      <c r="AV31" s="166"/>
      <c r="AW31" s="166"/>
      <c r="AX31" s="167"/>
      <c r="AY31" s="94"/>
      <c r="AZ31" s="95"/>
      <c r="BA31" s="95"/>
      <c r="BB31" s="95"/>
      <c r="BC31" s="95"/>
      <c r="BD31" s="95"/>
      <c r="BE31" s="95"/>
      <c r="BF31" s="96"/>
      <c r="BG31" s="92"/>
    </row>
    <row r="32" spans="1:126" ht="14.25" customHeight="1" x14ac:dyDescent="0.25">
      <c r="A32" s="92"/>
      <c r="B32" s="92"/>
      <c r="C32" s="143"/>
      <c r="D32" s="143"/>
      <c r="E32" s="143"/>
      <c r="F32" s="143"/>
      <c r="G32" s="143"/>
      <c r="H32" s="92"/>
      <c r="I32" s="103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5"/>
      <c r="W32" s="145"/>
      <c r="X32" s="163"/>
      <c r="Y32" s="163"/>
      <c r="Z32" s="164"/>
      <c r="AA32" s="118"/>
      <c r="AB32" s="119"/>
      <c r="AC32" s="119"/>
      <c r="AD32" s="119"/>
      <c r="AE32" s="119"/>
      <c r="AF32" s="119"/>
      <c r="AG32" s="120"/>
      <c r="AH32" s="145"/>
      <c r="AI32" s="163"/>
      <c r="AJ32" s="163"/>
      <c r="AK32" s="164"/>
      <c r="AL32" s="118"/>
      <c r="AM32" s="119"/>
      <c r="AN32" s="119"/>
      <c r="AO32" s="119"/>
      <c r="AP32" s="119"/>
      <c r="AQ32" s="119"/>
      <c r="AR32" s="120"/>
      <c r="AS32" s="165"/>
      <c r="AT32" s="166"/>
      <c r="AU32" s="166"/>
      <c r="AV32" s="166"/>
      <c r="AW32" s="166"/>
      <c r="AX32" s="167"/>
      <c r="AY32" s="97"/>
      <c r="AZ32" s="98"/>
      <c r="BA32" s="98"/>
      <c r="BB32" s="98"/>
      <c r="BC32" s="98"/>
      <c r="BD32" s="98"/>
      <c r="BE32" s="98"/>
      <c r="BF32" s="99"/>
      <c r="BG32" s="92"/>
    </row>
    <row r="33" spans="1:75" ht="14.25" customHeight="1" x14ac:dyDescent="0.25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</row>
    <row r="34" spans="1:75" ht="14.25" customHeight="1" x14ac:dyDescent="0.25">
      <c r="A34" s="92"/>
      <c r="B34" s="92"/>
      <c r="C34" s="143" t="s">
        <v>349</v>
      </c>
      <c r="D34" s="143"/>
      <c r="E34" s="143"/>
      <c r="F34" s="143"/>
      <c r="G34" s="143"/>
      <c r="H34" s="92"/>
      <c r="I34" s="115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7"/>
      <c r="AQ34" s="138" t="s">
        <v>350</v>
      </c>
      <c r="AR34" s="157"/>
      <c r="AS34" s="157"/>
      <c r="AT34" s="157"/>
      <c r="AU34" s="157"/>
      <c r="AV34" s="157"/>
      <c r="AW34" s="157"/>
      <c r="AX34" s="158"/>
      <c r="AY34" s="115"/>
      <c r="AZ34" s="116"/>
      <c r="BA34" s="116"/>
      <c r="BB34" s="116"/>
      <c r="BC34" s="116"/>
      <c r="BD34" s="116"/>
      <c r="BE34" s="116"/>
      <c r="BF34" s="117"/>
      <c r="BG34" s="92"/>
    </row>
    <row r="35" spans="1:75" ht="14.25" customHeight="1" x14ac:dyDescent="0.25">
      <c r="A35" s="92"/>
      <c r="B35" s="92"/>
      <c r="C35" s="143"/>
      <c r="D35" s="143"/>
      <c r="E35" s="143"/>
      <c r="F35" s="143"/>
      <c r="G35" s="143"/>
      <c r="H35" s="92"/>
      <c r="I35" s="118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20"/>
      <c r="AQ35" s="138"/>
      <c r="AR35" s="157"/>
      <c r="AS35" s="157"/>
      <c r="AT35" s="157"/>
      <c r="AU35" s="157"/>
      <c r="AV35" s="157"/>
      <c r="AW35" s="157"/>
      <c r="AX35" s="158"/>
      <c r="AY35" s="118"/>
      <c r="AZ35" s="119"/>
      <c r="BA35" s="119"/>
      <c r="BB35" s="119"/>
      <c r="BC35" s="119"/>
      <c r="BD35" s="119"/>
      <c r="BE35" s="119"/>
      <c r="BF35" s="120"/>
      <c r="BG35" s="92"/>
    </row>
    <row r="36" spans="1:75" ht="14.25" customHeight="1" x14ac:dyDescent="0.25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</row>
    <row r="37" spans="1:75" ht="5.25" customHeight="1" x14ac:dyDescent="0.25">
      <c r="A37" s="92"/>
      <c r="B37" s="92"/>
      <c r="C37" s="159" t="s">
        <v>17</v>
      </c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</row>
    <row r="38" spans="1:75" ht="14.25" customHeight="1" x14ac:dyDescent="0.25">
      <c r="A38" s="92"/>
      <c r="B38" s="92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BC38" s="92"/>
      <c r="BD38" s="92"/>
      <c r="BE38" s="92"/>
      <c r="BF38" s="92"/>
      <c r="BG38" s="92"/>
    </row>
    <row r="39" spans="1:75" ht="14.25" customHeight="1" x14ac:dyDescent="0.25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</row>
    <row r="40" spans="1:75" ht="14.25" customHeight="1" x14ac:dyDescent="0.25">
      <c r="A40" s="92"/>
      <c r="B40" s="92"/>
      <c r="C40" s="143" t="s">
        <v>351</v>
      </c>
      <c r="D40" s="143"/>
      <c r="E40" s="143"/>
      <c r="F40" s="143"/>
      <c r="G40" s="143"/>
      <c r="H40" s="144"/>
      <c r="I40" s="115" t="s">
        <v>31</v>
      </c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4"/>
      <c r="W40" s="145" t="s">
        <v>352</v>
      </c>
      <c r="X40" s="146"/>
      <c r="Y40" s="146"/>
      <c r="Z40" s="147"/>
      <c r="AA40" s="148"/>
      <c r="AB40" s="149"/>
      <c r="AC40" s="149"/>
      <c r="AD40" s="149"/>
      <c r="AE40" s="149"/>
      <c r="AF40" s="150"/>
      <c r="AG40" s="154" t="s">
        <v>353</v>
      </c>
      <c r="AH40" s="155"/>
      <c r="AI40" s="155"/>
      <c r="AJ40" s="155"/>
      <c r="AK40" s="144"/>
      <c r="AL40" s="115"/>
      <c r="AM40" s="133"/>
      <c r="AN40" s="133"/>
      <c r="AO40" s="133"/>
      <c r="AP40" s="133"/>
      <c r="AQ40" s="133"/>
      <c r="AR40" s="134"/>
      <c r="AS40" s="138" t="s">
        <v>354</v>
      </c>
      <c r="AT40" s="139"/>
      <c r="AU40" s="139"/>
      <c r="AV40" s="139"/>
      <c r="AW40" s="139"/>
      <c r="AX40" s="140"/>
      <c r="AY40" s="94"/>
      <c r="AZ40" s="95"/>
      <c r="BA40" s="95"/>
      <c r="BB40" s="95"/>
      <c r="BC40" s="95"/>
      <c r="BD40" s="95"/>
      <c r="BE40" s="95"/>
      <c r="BF40" s="96"/>
      <c r="BG40" s="92"/>
    </row>
    <row r="41" spans="1:75" ht="14.25" customHeight="1" x14ac:dyDescent="0.25">
      <c r="A41" s="92"/>
      <c r="B41" s="92"/>
      <c r="C41" s="143"/>
      <c r="D41" s="143"/>
      <c r="E41" s="143"/>
      <c r="F41" s="143"/>
      <c r="G41" s="143"/>
      <c r="H41" s="144"/>
      <c r="I41" s="135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7"/>
      <c r="W41" s="145"/>
      <c r="X41" s="146"/>
      <c r="Y41" s="146"/>
      <c r="Z41" s="147"/>
      <c r="AA41" s="151"/>
      <c r="AB41" s="152"/>
      <c r="AC41" s="152"/>
      <c r="AD41" s="152"/>
      <c r="AE41" s="152"/>
      <c r="AF41" s="153"/>
      <c r="AG41" s="156"/>
      <c r="AH41" s="155"/>
      <c r="AI41" s="155"/>
      <c r="AJ41" s="155"/>
      <c r="AK41" s="144"/>
      <c r="AL41" s="135"/>
      <c r="AM41" s="136"/>
      <c r="AN41" s="136"/>
      <c r="AO41" s="136"/>
      <c r="AP41" s="136"/>
      <c r="AQ41" s="136"/>
      <c r="AR41" s="137"/>
      <c r="AS41" s="141"/>
      <c r="AT41" s="139"/>
      <c r="AU41" s="139"/>
      <c r="AV41" s="139"/>
      <c r="AW41" s="139"/>
      <c r="AX41" s="140"/>
      <c r="AY41" s="97"/>
      <c r="AZ41" s="98"/>
      <c r="BA41" s="98"/>
      <c r="BB41" s="98"/>
      <c r="BC41" s="98"/>
      <c r="BD41" s="98"/>
      <c r="BE41" s="98"/>
      <c r="BF41" s="99"/>
      <c r="BG41" s="92"/>
    </row>
    <row r="42" spans="1:75" ht="6" customHeight="1" x14ac:dyDescent="0.25">
      <c r="A42" s="92"/>
      <c r="B42" s="92"/>
      <c r="BG42" s="92"/>
    </row>
    <row r="43" spans="1:75" ht="14.25" hidden="1" customHeight="1" x14ac:dyDescent="0.25">
      <c r="A43" s="92"/>
      <c r="B43" s="92"/>
      <c r="BG43" s="92"/>
    </row>
    <row r="44" spans="1:75" ht="14.25" hidden="1" customHeight="1" x14ac:dyDescent="0.25">
      <c r="A44" s="92"/>
      <c r="B44" s="92"/>
      <c r="BG44" s="92"/>
    </row>
    <row r="45" spans="1:75" ht="2.25" customHeight="1" x14ac:dyDescent="0.25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</row>
    <row r="46" spans="1:75" ht="14.25" customHeight="1" x14ac:dyDescent="0.25">
      <c r="A46" s="89"/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R46" s="92"/>
      <c r="BS46" s="92"/>
      <c r="BT46" s="92"/>
      <c r="BU46" s="92"/>
      <c r="BV46" s="92"/>
      <c r="BW46" s="92"/>
    </row>
    <row r="47" spans="1:75" ht="14.25" customHeight="1" x14ac:dyDescent="0.25">
      <c r="A47" s="89"/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R47" s="92"/>
      <c r="BS47" s="92"/>
      <c r="BT47" s="92"/>
      <c r="BU47" s="92"/>
      <c r="BV47" s="92"/>
      <c r="BW47" s="92"/>
    </row>
    <row r="48" spans="1:75" ht="14.25" customHeight="1" x14ac:dyDescent="0.25">
      <c r="A48" s="89"/>
      <c r="B48" s="89"/>
      <c r="C48" s="89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R48" s="92"/>
      <c r="BS48" s="92"/>
      <c r="BT48" s="92"/>
      <c r="BU48" s="92"/>
      <c r="BV48" s="92"/>
      <c r="BW48" s="92"/>
    </row>
    <row r="49" spans="1:75" ht="14.25" customHeight="1" x14ac:dyDescent="0.25">
      <c r="A49" s="89"/>
      <c r="B49" s="89"/>
      <c r="C49" s="130" t="s">
        <v>38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76"/>
      <c r="O49" s="76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R49" s="92"/>
      <c r="BS49" s="92"/>
      <c r="BT49" s="92"/>
      <c r="BU49" s="92"/>
      <c r="BV49" s="92"/>
      <c r="BW49" s="92"/>
    </row>
    <row r="50" spans="1:75" ht="14.25" customHeight="1" x14ac:dyDescent="0.25">
      <c r="A50" s="89"/>
      <c r="B50" s="89"/>
      <c r="C50" s="89"/>
      <c r="D50" s="88"/>
      <c r="E50" s="88"/>
      <c r="F50" s="88"/>
      <c r="G50" s="88"/>
      <c r="H50" s="88"/>
      <c r="I50" s="88"/>
      <c r="J50" s="88"/>
      <c r="K50" s="88"/>
      <c r="L50" s="76"/>
      <c r="M50" s="76"/>
      <c r="N50" s="76"/>
      <c r="O50" s="76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77"/>
      <c r="AF50" s="128" t="s">
        <v>355</v>
      </c>
      <c r="AG50" s="128"/>
      <c r="AH50" s="128"/>
      <c r="AI50" s="128"/>
      <c r="AJ50" s="128"/>
      <c r="AK50" s="128"/>
      <c r="AL50" s="128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R50" s="92"/>
      <c r="BS50" s="92"/>
      <c r="BT50" s="92"/>
      <c r="BU50" s="92"/>
      <c r="BV50" s="92"/>
      <c r="BW50" s="92"/>
    </row>
    <row r="51" spans="1:75" ht="14.25" customHeight="1" x14ac:dyDescent="0.25">
      <c r="A51" s="89"/>
      <c r="B51" s="89"/>
      <c r="C51" s="142" t="s">
        <v>356</v>
      </c>
      <c r="D51" s="142"/>
      <c r="E51" s="142"/>
      <c r="F51" s="142"/>
      <c r="G51" s="142"/>
      <c r="H51" s="142"/>
      <c r="I51" s="142"/>
      <c r="J51" s="142"/>
      <c r="K51" s="142"/>
      <c r="L51" s="142"/>
      <c r="M51" s="89"/>
      <c r="N51" s="122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4"/>
      <c r="AD51" s="89"/>
      <c r="AE51" s="77"/>
      <c r="AF51" s="128"/>
      <c r="AG51" s="128"/>
      <c r="AH51" s="128"/>
      <c r="AI51" s="128"/>
      <c r="AJ51" s="128"/>
      <c r="AK51" s="128"/>
      <c r="AL51" s="128"/>
      <c r="AM51" s="115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7"/>
      <c r="BG51" s="89"/>
      <c r="BH51" s="89"/>
      <c r="BR51" s="92"/>
      <c r="BS51" s="92"/>
      <c r="BT51" s="92"/>
      <c r="BU51" s="92"/>
      <c r="BV51" s="92"/>
      <c r="BW51" s="92"/>
    </row>
    <row r="52" spans="1:75" ht="14.25" customHeight="1" x14ac:dyDescent="0.25">
      <c r="A52" s="89"/>
      <c r="B52" s="89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89"/>
      <c r="N52" s="125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7"/>
      <c r="AD52" s="89"/>
      <c r="AE52" s="77"/>
      <c r="AF52" s="128"/>
      <c r="AG52" s="128"/>
      <c r="AH52" s="128"/>
      <c r="AI52" s="128"/>
      <c r="AJ52" s="128"/>
      <c r="AK52" s="128"/>
      <c r="AL52" s="128"/>
      <c r="AM52" s="118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119"/>
      <c r="BE52" s="119"/>
      <c r="BF52" s="120"/>
      <c r="BG52" s="89"/>
      <c r="BH52" s="89"/>
      <c r="BR52" s="92"/>
      <c r="BS52" s="92"/>
      <c r="BT52" s="92"/>
      <c r="BU52" s="92"/>
      <c r="BV52" s="92"/>
      <c r="BW52" s="92"/>
    </row>
    <row r="53" spans="1:75" ht="14.25" customHeight="1" x14ac:dyDescent="0.25">
      <c r="A53" s="89"/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129" t="s">
        <v>357</v>
      </c>
      <c r="AQ53" s="129"/>
      <c r="AR53" s="129"/>
      <c r="AS53" s="12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R53" s="92"/>
      <c r="BS53" s="92"/>
      <c r="BT53" s="92"/>
      <c r="BU53" s="92"/>
      <c r="BV53" s="92"/>
      <c r="BW53" s="92"/>
    </row>
    <row r="54" spans="1:75" ht="14.25" customHeight="1" x14ac:dyDescent="0.25">
      <c r="A54" s="89"/>
      <c r="B54" s="89"/>
      <c r="C54" s="114" t="s">
        <v>358</v>
      </c>
      <c r="D54" s="114"/>
      <c r="E54" s="114"/>
      <c r="F54" s="89"/>
      <c r="G54" s="89"/>
      <c r="H54" s="89"/>
      <c r="I54" s="115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7"/>
      <c r="AD54" s="89"/>
      <c r="AE54" s="89"/>
      <c r="AF54" s="89"/>
      <c r="AG54" s="89"/>
      <c r="AH54" s="114" t="s">
        <v>359</v>
      </c>
      <c r="AI54" s="114"/>
      <c r="AJ54" s="89"/>
      <c r="AK54" s="122"/>
      <c r="AL54" s="123"/>
      <c r="AM54" s="123"/>
      <c r="AN54" s="124"/>
      <c r="AO54" s="89"/>
      <c r="AP54" s="128"/>
      <c r="AQ54" s="128"/>
      <c r="AR54" s="128"/>
      <c r="AS54" s="128"/>
      <c r="AT54" s="122"/>
      <c r="AU54" s="123"/>
      <c r="AV54" s="123"/>
      <c r="AW54" s="124"/>
      <c r="AX54" s="88"/>
      <c r="AY54" s="114" t="s">
        <v>360</v>
      </c>
      <c r="AZ54" s="114"/>
      <c r="BA54" s="114"/>
      <c r="BB54" s="114"/>
      <c r="BC54" s="122"/>
      <c r="BD54" s="123"/>
      <c r="BE54" s="123"/>
      <c r="BF54" s="124"/>
      <c r="BG54" s="89"/>
      <c r="BH54" s="89"/>
      <c r="BR54" s="92"/>
      <c r="BS54" s="92"/>
      <c r="BT54" s="92"/>
      <c r="BU54" s="92"/>
      <c r="BV54" s="92"/>
      <c r="BW54" s="92"/>
    </row>
    <row r="55" spans="1:75" ht="14.25" customHeight="1" x14ac:dyDescent="0.25">
      <c r="A55" s="89"/>
      <c r="B55" s="89"/>
      <c r="C55" s="114"/>
      <c r="D55" s="114"/>
      <c r="E55" s="114"/>
      <c r="F55" s="89"/>
      <c r="G55" s="89"/>
      <c r="H55" s="89"/>
      <c r="I55" s="118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20"/>
      <c r="AD55" s="89"/>
      <c r="AE55" s="89"/>
      <c r="AF55" s="89"/>
      <c r="AG55" s="89"/>
      <c r="AH55" s="114"/>
      <c r="AI55" s="114"/>
      <c r="AJ55" s="89"/>
      <c r="AK55" s="125"/>
      <c r="AL55" s="126"/>
      <c r="AM55" s="126"/>
      <c r="AN55" s="127"/>
      <c r="AO55" s="89"/>
      <c r="AP55" s="128"/>
      <c r="AQ55" s="128"/>
      <c r="AR55" s="128"/>
      <c r="AS55" s="128"/>
      <c r="AT55" s="125"/>
      <c r="AU55" s="126"/>
      <c r="AV55" s="126"/>
      <c r="AW55" s="127"/>
      <c r="AX55" s="88"/>
      <c r="AY55" s="114"/>
      <c r="AZ55" s="114"/>
      <c r="BA55" s="114"/>
      <c r="BB55" s="114"/>
      <c r="BC55" s="125"/>
      <c r="BD55" s="126"/>
      <c r="BE55" s="126"/>
      <c r="BF55" s="127"/>
      <c r="BG55" s="89"/>
      <c r="BH55" s="89"/>
      <c r="BR55" s="92"/>
      <c r="BS55" s="92"/>
      <c r="BT55" s="92"/>
      <c r="BU55" s="92"/>
      <c r="BV55" s="92"/>
      <c r="BW55" s="92"/>
    </row>
    <row r="56" spans="1:75" ht="14.25" customHeight="1" x14ac:dyDescent="0.25">
      <c r="A56" s="89"/>
      <c r="B56" s="89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8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89"/>
      <c r="AJ56" s="89"/>
      <c r="AK56" s="33"/>
      <c r="AL56" s="33"/>
      <c r="AM56" s="33"/>
      <c r="AN56" s="33"/>
      <c r="AO56" s="89"/>
      <c r="AP56" s="91"/>
      <c r="AQ56" s="91"/>
      <c r="AR56" s="91"/>
      <c r="AS56" s="91"/>
      <c r="AT56" s="33"/>
      <c r="AU56" s="33"/>
      <c r="AV56" s="33"/>
      <c r="AW56" s="33"/>
      <c r="AX56" s="88"/>
      <c r="AY56" s="89"/>
      <c r="AZ56" s="89"/>
      <c r="BA56" s="89"/>
      <c r="BB56" s="89"/>
      <c r="BC56" s="33"/>
      <c r="BD56" s="33"/>
      <c r="BE56" s="33"/>
      <c r="BF56" s="33"/>
      <c r="BG56" s="89"/>
      <c r="BH56" s="89"/>
      <c r="BR56" s="92"/>
      <c r="BS56" s="92"/>
      <c r="BT56" s="92"/>
      <c r="BU56" s="92"/>
      <c r="BV56" s="92"/>
      <c r="BW56" s="92"/>
    </row>
    <row r="57" spans="1:75" ht="14.25" customHeight="1" x14ac:dyDescent="0.25">
      <c r="A57" s="89"/>
      <c r="B57" s="89"/>
      <c r="C57" s="130" t="s">
        <v>361</v>
      </c>
      <c r="D57" s="130"/>
      <c r="E57" s="130"/>
      <c r="F57" s="130"/>
      <c r="G57" s="130"/>
      <c r="H57" s="130"/>
      <c r="I57" s="130"/>
      <c r="J57" s="130"/>
      <c r="K57" s="130"/>
      <c r="L57" s="130"/>
      <c r="M57" s="131"/>
      <c r="N57" s="81"/>
      <c r="O57" s="79"/>
      <c r="P57" s="82" t="s">
        <v>362</v>
      </c>
      <c r="Q57" s="79"/>
      <c r="R57" s="89"/>
      <c r="S57" s="8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89"/>
      <c r="AJ57" s="89"/>
      <c r="AK57" s="33"/>
      <c r="AL57" s="33"/>
      <c r="AM57" s="33"/>
      <c r="AN57" s="33"/>
      <c r="AO57" s="89"/>
      <c r="AP57" s="91"/>
      <c r="AQ57" s="91"/>
      <c r="AR57" s="91"/>
      <c r="AS57" s="91"/>
      <c r="AT57" s="33"/>
      <c r="AU57" s="33"/>
      <c r="AV57" s="33"/>
      <c r="AW57" s="33"/>
      <c r="AX57" s="88"/>
      <c r="AY57" s="89"/>
      <c r="AZ57" s="89"/>
      <c r="BA57" s="89"/>
      <c r="BB57" s="89"/>
      <c r="BC57" s="33"/>
      <c r="BD57" s="33"/>
      <c r="BE57" s="33"/>
      <c r="BF57" s="33"/>
      <c r="BG57" s="89"/>
      <c r="BH57" s="89"/>
      <c r="BR57" s="92"/>
      <c r="BS57" s="92"/>
      <c r="BT57" s="92"/>
      <c r="BU57" s="92"/>
      <c r="BV57" s="92"/>
      <c r="BW57" s="92"/>
    </row>
    <row r="58" spans="1:75" ht="14.25" customHeight="1" x14ac:dyDescent="0.25">
      <c r="A58" s="89"/>
      <c r="B58" s="89"/>
      <c r="C58" s="89"/>
      <c r="D58" s="88"/>
      <c r="E58" s="88"/>
      <c r="F58" s="88"/>
      <c r="G58" s="88"/>
      <c r="H58" s="88"/>
      <c r="I58" s="88"/>
      <c r="J58" s="88"/>
      <c r="K58" s="88"/>
      <c r="L58" s="76"/>
      <c r="M58" s="76"/>
      <c r="N58" s="76"/>
      <c r="O58" s="76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77"/>
      <c r="AF58" s="128" t="s">
        <v>355</v>
      </c>
      <c r="AG58" s="128"/>
      <c r="AH58" s="128"/>
      <c r="AI58" s="128"/>
      <c r="AJ58" s="128"/>
      <c r="AK58" s="128"/>
      <c r="AL58" s="128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R58" s="92"/>
      <c r="BS58" s="92"/>
      <c r="BT58" s="92"/>
      <c r="BU58" s="92"/>
      <c r="BV58" s="92"/>
      <c r="BW58" s="92"/>
    </row>
    <row r="59" spans="1:75" ht="14.25" customHeight="1" x14ac:dyDescent="0.25">
      <c r="A59" s="89"/>
      <c r="B59" s="89"/>
      <c r="C59" s="132" t="s">
        <v>356</v>
      </c>
      <c r="D59" s="132"/>
      <c r="E59" s="132"/>
      <c r="F59" s="132"/>
      <c r="G59" s="132"/>
      <c r="H59" s="132"/>
      <c r="I59" s="132"/>
      <c r="J59" s="132"/>
      <c r="K59" s="132"/>
      <c r="L59" s="132"/>
      <c r="M59" s="89"/>
      <c r="N59" s="115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7"/>
      <c r="AD59" s="89"/>
      <c r="AE59" s="77"/>
      <c r="AF59" s="128"/>
      <c r="AG59" s="128"/>
      <c r="AH59" s="128"/>
      <c r="AI59" s="128"/>
      <c r="AJ59" s="128"/>
      <c r="AK59" s="128"/>
      <c r="AL59" s="128"/>
      <c r="AM59" s="115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7"/>
      <c r="BG59" s="89"/>
      <c r="BH59" s="89"/>
      <c r="BR59" s="92"/>
      <c r="BS59" s="92"/>
      <c r="BT59" s="92"/>
      <c r="BU59" s="92"/>
      <c r="BV59" s="92"/>
      <c r="BW59" s="92"/>
    </row>
    <row r="60" spans="1:75" ht="14.25" customHeight="1" x14ac:dyDescent="0.25">
      <c r="A60" s="89"/>
      <c r="B60" s="89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89"/>
      <c r="N60" s="118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20"/>
      <c r="AD60" s="89"/>
      <c r="AE60" s="77"/>
      <c r="AF60" s="128"/>
      <c r="AG60" s="128"/>
      <c r="AH60" s="128"/>
      <c r="AI60" s="128"/>
      <c r="AJ60" s="128"/>
      <c r="AK60" s="128"/>
      <c r="AL60" s="128"/>
      <c r="AM60" s="118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119"/>
      <c r="BB60" s="119"/>
      <c r="BC60" s="119"/>
      <c r="BD60" s="119"/>
      <c r="BE60" s="119"/>
      <c r="BF60" s="120"/>
      <c r="BG60" s="89"/>
      <c r="BH60" s="89"/>
      <c r="BR60" s="92"/>
      <c r="BS60" s="92"/>
      <c r="BT60" s="92"/>
      <c r="BU60" s="92"/>
      <c r="BV60" s="92"/>
      <c r="BW60" s="92"/>
    </row>
    <row r="61" spans="1:75" ht="14.25" customHeight="1" x14ac:dyDescent="0.25">
      <c r="A61" s="89"/>
      <c r="B61" s="89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129" t="s">
        <v>357</v>
      </c>
      <c r="AQ61" s="129"/>
      <c r="AR61" s="129"/>
      <c r="AS61" s="12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R61" s="92"/>
      <c r="BS61" s="92"/>
      <c r="BT61" s="92"/>
      <c r="BU61" s="92"/>
      <c r="BV61" s="92"/>
      <c r="BW61" s="92"/>
    </row>
    <row r="62" spans="1:75" ht="14.25" customHeight="1" x14ac:dyDescent="0.25">
      <c r="A62" s="89"/>
      <c r="B62" s="89"/>
      <c r="C62" s="114" t="s">
        <v>358</v>
      </c>
      <c r="D62" s="114"/>
      <c r="E62" s="114"/>
      <c r="F62" s="89"/>
      <c r="G62" s="89"/>
      <c r="H62" s="89"/>
      <c r="I62" s="115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7"/>
      <c r="AD62" s="89"/>
      <c r="AE62" s="89"/>
      <c r="AF62" s="89"/>
      <c r="AG62" s="89"/>
      <c r="AH62" s="114" t="s">
        <v>359</v>
      </c>
      <c r="AI62" s="114"/>
      <c r="AJ62" s="89"/>
      <c r="AK62" s="122"/>
      <c r="AL62" s="123"/>
      <c r="AM62" s="123"/>
      <c r="AN62" s="124"/>
      <c r="AO62" s="89"/>
      <c r="AP62" s="128"/>
      <c r="AQ62" s="128"/>
      <c r="AR62" s="128"/>
      <c r="AS62" s="128"/>
      <c r="AT62" s="122"/>
      <c r="AU62" s="123"/>
      <c r="AV62" s="123"/>
      <c r="AW62" s="124"/>
      <c r="AX62" s="88"/>
      <c r="AY62" s="114" t="s">
        <v>360</v>
      </c>
      <c r="AZ62" s="114"/>
      <c r="BA62" s="114"/>
      <c r="BB62" s="114"/>
      <c r="BC62" s="122"/>
      <c r="BD62" s="123"/>
      <c r="BE62" s="123"/>
      <c r="BF62" s="124"/>
      <c r="BG62" s="89"/>
      <c r="BH62" s="89"/>
      <c r="BR62" s="92"/>
      <c r="BS62" s="92"/>
      <c r="BT62" s="92"/>
      <c r="BU62" s="92"/>
      <c r="BV62" s="92"/>
      <c r="BW62" s="92"/>
    </row>
    <row r="63" spans="1:75" ht="14.25" customHeight="1" x14ac:dyDescent="0.25">
      <c r="A63" s="89"/>
      <c r="B63" s="89"/>
      <c r="C63" s="114"/>
      <c r="D63" s="114"/>
      <c r="E63" s="114"/>
      <c r="F63" s="89"/>
      <c r="G63" s="89"/>
      <c r="H63" s="89"/>
      <c r="I63" s="118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  <c r="AA63" s="119"/>
      <c r="AB63" s="119"/>
      <c r="AC63" s="120"/>
      <c r="AD63" s="89"/>
      <c r="AE63" s="89"/>
      <c r="AF63" s="89"/>
      <c r="AG63" s="89"/>
      <c r="AH63" s="114"/>
      <c r="AI63" s="114"/>
      <c r="AJ63" s="89"/>
      <c r="AK63" s="125"/>
      <c r="AL63" s="126"/>
      <c r="AM63" s="126"/>
      <c r="AN63" s="127"/>
      <c r="AO63" s="89"/>
      <c r="AP63" s="128"/>
      <c r="AQ63" s="128"/>
      <c r="AR63" s="128"/>
      <c r="AS63" s="128"/>
      <c r="AT63" s="125"/>
      <c r="AU63" s="126"/>
      <c r="AV63" s="126"/>
      <c r="AW63" s="127"/>
      <c r="AX63" s="88"/>
      <c r="AY63" s="114"/>
      <c r="AZ63" s="114"/>
      <c r="BA63" s="114"/>
      <c r="BB63" s="114"/>
      <c r="BC63" s="125"/>
      <c r="BD63" s="126"/>
      <c r="BE63" s="126"/>
      <c r="BF63" s="127"/>
      <c r="BG63" s="89"/>
      <c r="BH63" s="89"/>
      <c r="BR63" s="92"/>
      <c r="BS63" s="92"/>
      <c r="BT63" s="92"/>
      <c r="BU63" s="92"/>
      <c r="BV63" s="92"/>
      <c r="BW63" s="92"/>
    </row>
    <row r="64" spans="1:75" ht="14.25" customHeight="1" x14ac:dyDescent="0.25">
      <c r="A64" s="89"/>
      <c r="B64" s="89"/>
      <c r="C64" s="89"/>
      <c r="D64" s="89"/>
      <c r="E64" s="89"/>
      <c r="F64" s="89"/>
      <c r="G64" s="89"/>
      <c r="H64" s="89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33"/>
      <c r="AL64" s="33"/>
      <c r="AM64" s="33"/>
      <c r="AN64" s="33"/>
      <c r="AO64" s="89"/>
      <c r="AP64" s="91"/>
      <c r="AQ64" s="91"/>
      <c r="AR64" s="91"/>
      <c r="AS64" s="91"/>
      <c r="AT64" s="33"/>
      <c r="AU64" s="33"/>
      <c r="AV64" s="33"/>
      <c r="AW64" s="33"/>
      <c r="AX64" s="88"/>
      <c r="AY64" s="89"/>
      <c r="AZ64" s="89"/>
      <c r="BA64" s="89"/>
      <c r="BB64" s="89"/>
      <c r="BC64" s="33"/>
      <c r="BD64" s="33"/>
      <c r="BE64" s="33"/>
      <c r="BF64" s="33"/>
      <c r="BG64" s="89"/>
      <c r="BH64" s="89"/>
      <c r="BR64" s="92"/>
      <c r="BS64" s="92"/>
      <c r="BT64" s="92"/>
      <c r="BU64" s="92"/>
      <c r="BV64" s="92"/>
      <c r="BW64" s="92"/>
    </row>
    <row r="65" spans="1:75" ht="14.25" customHeight="1" x14ac:dyDescent="0.25">
      <c r="A65" s="89"/>
      <c r="B65" s="89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R65" s="92"/>
      <c r="BS65" s="92"/>
      <c r="BT65" s="92"/>
      <c r="BU65" s="92"/>
      <c r="BV65" s="92"/>
      <c r="BW65" s="92"/>
    </row>
    <row r="66" spans="1:75" ht="14.25" customHeight="1" x14ac:dyDescent="0.25">
      <c r="A66" s="89"/>
      <c r="B66" s="89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R66" s="92"/>
      <c r="BS66" s="92"/>
      <c r="BT66" s="92"/>
      <c r="BU66" s="92"/>
      <c r="BV66" s="92"/>
      <c r="BW66" s="92"/>
    </row>
    <row r="67" spans="1:75" ht="14.25" customHeight="1" x14ac:dyDescent="0.25">
      <c r="A67" s="89"/>
      <c r="B67" s="89"/>
      <c r="C67" s="128" t="s">
        <v>363</v>
      </c>
      <c r="D67" s="128"/>
      <c r="E67" s="128"/>
      <c r="F67" s="128"/>
      <c r="G67" s="128"/>
      <c r="H67" s="128"/>
      <c r="I67" s="128"/>
      <c r="J67" s="128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128" t="s">
        <v>364</v>
      </c>
      <c r="AE67" s="128"/>
      <c r="AF67" s="128"/>
      <c r="AG67" s="128"/>
      <c r="AH67" s="128"/>
      <c r="AI67" s="128"/>
      <c r="AJ67" s="128"/>
      <c r="AK67" s="128"/>
      <c r="AL67" s="128"/>
      <c r="AM67" s="20"/>
      <c r="AN67" s="20"/>
      <c r="AO67" s="89"/>
      <c r="AP67" s="88"/>
      <c r="AQ67" s="88"/>
      <c r="AR67" s="88"/>
      <c r="AS67" s="88"/>
      <c r="AT67" s="20"/>
      <c r="AU67" s="20"/>
      <c r="AV67" s="20"/>
      <c r="AW67" s="20"/>
      <c r="AX67" s="88"/>
      <c r="AY67" s="89"/>
      <c r="AZ67" s="89"/>
      <c r="BA67" s="89"/>
      <c r="BB67" s="89"/>
      <c r="BC67" s="20"/>
      <c r="BD67" s="20"/>
      <c r="BE67" s="20"/>
      <c r="BF67" s="20"/>
      <c r="BG67" s="89"/>
      <c r="BH67" s="89"/>
      <c r="BR67" s="92"/>
      <c r="BS67" s="92"/>
      <c r="BT67" s="92"/>
      <c r="BU67" s="92"/>
      <c r="BV67" s="92"/>
      <c r="BW67" s="92"/>
    </row>
    <row r="68" spans="1:75" ht="14.25" customHeight="1" x14ac:dyDescent="0.25">
      <c r="A68" s="89"/>
      <c r="B68" s="89"/>
      <c r="C68" s="128"/>
      <c r="D68" s="128"/>
      <c r="E68" s="128"/>
      <c r="F68" s="128"/>
      <c r="G68" s="128"/>
      <c r="H68" s="128"/>
      <c r="I68" s="128"/>
      <c r="J68" s="128"/>
      <c r="K68" s="20"/>
      <c r="L68" s="89"/>
      <c r="M68" s="108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10"/>
      <c r="AC68" s="83"/>
      <c r="AD68" s="128"/>
      <c r="AE68" s="128"/>
      <c r="AF68" s="128"/>
      <c r="AG68" s="128"/>
      <c r="AH68" s="128"/>
      <c r="AI68" s="128"/>
      <c r="AJ68" s="128"/>
      <c r="AK68" s="128"/>
      <c r="AL68" s="128"/>
      <c r="AM68" s="108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10"/>
      <c r="BG68" s="89"/>
      <c r="BH68" s="89"/>
      <c r="BR68" s="92"/>
      <c r="BS68" s="92"/>
      <c r="BT68" s="92"/>
      <c r="BU68" s="92"/>
      <c r="BV68" s="92"/>
      <c r="BW68" s="92"/>
    </row>
    <row r="69" spans="1:75" ht="14.25" customHeight="1" x14ac:dyDescent="0.25">
      <c r="A69" s="89"/>
      <c r="B69" s="89"/>
      <c r="C69" s="128"/>
      <c r="D69" s="128"/>
      <c r="E69" s="128"/>
      <c r="F69" s="128"/>
      <c r="G69" s="128"/>
      <c r="H69" s="128"/>
      <c r="I69" s="128"/>
      <c r="J69" s="128"/>
      <c r="K69" s="20"/>
      <c r="L69" s="89"/>
      <c r="M69" s="111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3"/>
      <c r="AC69" s="88"/>
      <c r="AD69" s="128"/>
      <c r="AE69" s="128"/>
      <c r="AF69" s="128"/>
      <c r="AG69" s="128"/>
      <c r="AH69" s="128"/>
      <c r="AI69" s="128"/>
      <c r="AJ69" s="128"/>
      <c r="AK69" s="128"/>
      <c r="AL69" s="128"/>
      <c r="AM69" s="111"/>
      <c r="AN69" s="112"/>
      <c r="AO69" s="112"/>
      <c r="AP69" s="112"/>
      <c r="AQ69" s="112"/>
      <c r="AR69" s="112"/>
      <c r="AS69" s="112"/>
      <c r="AT69" s="112"/>
      <c r="AU69" s="112"/>
      <c r="AV69" s="112"/>
      <c r="AW69" s="112"/>
      <c r="AX69" s="112"/>
      <c r="AY69" s="112"/>
      <c r="AZ69" s="112"/>
      <c r="BA69" s="112"/>
      <c r="BB69" s="112"/>
      <c r="BC69" s="112"/>
      <c r="BD69" s="112"/>
      <c r="BE69" s="112"/>
      <c r="BF69" s="113"/>
      <c r="BG69" s="89"/>
      <c r="BH69" s="89"/>
      <c r="BR69" s="92"/>
      <c r="BS69" s="92"/>
      <c r="BT69" s="92"/>
      <c r="BU69" s="92"/>
      <c r="BV69" s="92"/>
      <c r="BW69" s="92"/>
    </row>
    <row r="70" spans="1:75" ht="14.25" customHeight="1" x14ac:dyDescent="0.25">
      <c r="A70" s="89"/>
      <c r="B70" s="89"/>
      <c r="C70" s="89"/>
      <c r="D70" s="89"/>
      <c r="E70" s="89"/>
      <c r="F70" s="89"/>
      <c r="G70" s="89"/>
      <c r="H70" s="89"/>
      <c r="I70" s="89"/>
      <c r="J70" s="89"/>
      <c r="K70" s="20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20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R70" s="92"/>
      <c r="BS70" s="92"/>
      <c r="BT70" s="92"/>
      <c r="BU70" s="92"/>
      <c r="BV70" s="92"/>
      <c r="BW70" s="92"/>
    </row>
    <row r="71" spans="1:75" ht="14.25" customHeight="1" x14ac:dyDescent="0.25">
      <c r="A71" s="89"/>
      <c r="B71" s="89"/>
      <c r="C71" s="107" t="s">
        <v>365</v>
      </c>
      <c r="D71" s="107"/>
      <c r="E71" s="107"/>
      <c r="F71" s="107"/>
      <c r="G71" s="107"/>
      <c r="H71" s="107"/>
      <c r="I71" s="107"/>
      <c r="J71" s="88"/>
      <c r="K71" s="20"/>
      <c r="L71" s="89"/>
      <c r="M71" s="108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10"/>
      <c r="AC71" s="89"/>
      <c r="AD71" s="114" t="s">
        <v>366</v>
      </c>
      <c r="AE71" s="114"/>
      <c r="AF71" s="114"/>
      <c r="AG71" s="89"/>
      <c r="AH71" s="89"/>
      <c r="AI71" s="89"/>
      <c r="AJ71" s="89"/>
      <c r="AK71" s="89"/>
      <c r="AL71" s="89"/>
      <c r="AM71" s="115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7"/>
      <c r="BG71" s="89"/>
      <c r="BH71" s="89"/>
      <c r="BR71" s="92"/>
      <c r="BS71" s="92"/>
      <c r="BT71" s="92"/>
      <c r="BU71" s="92"/>
      <c r="BV71" s="92"/>
      <c r="BW71" s="92"/>
    </row>
    <row r="72" spans="1:75" ht="14.25" customHeight="1" x14ac:dyDescent="0.25">
      <c r="A72" s="89"/>
      <c r="B72" s="89"/>
      <c r="C72" s="107"/>
      <c r="D72" s="107"/>
      <c r="E72" s="107"/>
      <c r="F72" s="107"/>
      <c r="G72" s="107"/>
      <c r="H72" s="107"/>
      <c r="I72" s="107"/>
      <c r="J72" s="88"/>
      <c r="K72" s="20"/>
      <c r="L72" s="89"/>
      <c r="M72" s="111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3"/>
      <c r="AC72" s="89"/>
      <c r="AD72" s="114"/>
      <c r="AE72" s="114"/>
      <c r="AF72" s="114"/>
      <c r="AG72" s="89"/>
      <c r="AH72" s="89"/>
      <c r="AI72" s="89"/>
      <c r="AJ72" s="89"/>
      <c r="AK72" s="89"/>
      <c r="AL72" s="89"/>
      <c r="AM72" s="118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  <c r="BC72" s="119"/>
      <c r="BD72" s="119"/>
      <c r="BE72" s="119"/>
      <c r="BF72" s="120"/>
      <c r="BG72" s="89"/>
      <c r="BH72" s="89"/>
      <c r="BR72" s="92"/>
      <c r="BS72" s="92"/>
      <c r="BT72" s="92"/>
      <c r="BU72" s="92"/>
      <c r="BV72" s="92"/>
      <c r="BW72" s="92"/>
    </row>
    <row r="73" spans="1:75" ht="14.25" customHeight="1" x14ac:dyDescent="0.25">
      <c r="A73" s="89"/>
      <c r="B73" s="89"/>
      <c r="C73" s="88"/>
      <c r="D73" s="88"/>
      <c r="E73" s="88"/>
      <c r="F73" s="88"/>
      <c r="G73" s="88"/>
      <c r="H73" s="88"/>
      <c r="I73" s="88"/>
      <c r="J73" s="88"/>
      <c r="K73" s="20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89"/>
      <c r="BH73" s="89"/>
      <c r="BR73" s="92"/>
      <c r="BS73" s="92"/>
      <c r="BT73" s="92"/>
      <c r="BU73" s="92"/>
      <c r="BV73" s="92"/>
      <c r="BW73" s="92"/>
    </row>
    <row r="74" spans="1:75" ht="14.25" customHeight="1" x14ac:dyDescent="0.25">
      <c r="A74" s="89"/>
      <c r="B74" s="89"/>
      <c r="C74" s="89"/>
      <c r="D74" s="89"/>
      <c r="E74" s="89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89"/>
      <c r="Y74" s="89"/>
      <c r="Z74" s="89"/>
      <c r="AA74" s="89"/>
      <c r="AB74" s="89"/>
      <c r="AC74" s="89"/>
      <c r="AD74" s="89"/>
      <c r="AE74" s="89"/>
      <c r="AF74" s="89"/>
      <c r="AG74" s="77"/>
      <c r="AH74" s="89"/>
      <c r="AI74" s="89"/>
      <c r="AJ74" s="20"/>
      <c r="AK74" s="20"/>
      <c r="AL74" s="20"/>
      <c r="AM74" s="20"/>
      <c r="AN74" s="89"/>
      <c r="AO74" s="88"/>
      <c r="AP74" s="88"/>
      <c r="AQ74" s="88"/>
      <c r="AR74" s="88"/>
      <c r="AS74" s="20"/>
      <c r="AT74" s="20"/>
      <c r="AU74" s="20"/>
      <c r="AV74" s="20"/>
      <c r="AW74" s="88"/>
      <c r="AX74" s="89"/>
      <c r="AY74" s="89"/>
      <c r="AZ74" s="89"/>
      <c r="BA74" s="89"/>
      <c r="BB74" s="20"/>
      <c r="BC74" s="20"/>
      <c r="BD74" s="20"/>
      <c r="BE74" s="20"/>
      <c r="BF74" s="89"/>
      <c r="BG74" s="89"/>
      <c r="BR74" s="92"/>
      <c r="BS74" s="92"/>
      <c r="BT74" s="89"/>
    </row>
    <row r="75" spans="1:75" ht="14.25" customHeight="1" x14ac:dyDescent="0.25">
      <c r="A75" s="89"/>
      <c r="B75" s="89"/>
      <c r="C75" s="89"/>
      <c r="D75" s="89"/>
      <c r="E75" s="89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89"/>
      <c r="Y75" s="89"/>
      <c r="Z75" s="89"/>
      <c r="AA75" s="89"/>
      <c r="AB75" s="89"/>
      <c r="AC75" s="89"/>
      <c r="AD75" s="89"/>
      <c r="AE75" s="89"/>
      <c r="AF75" s="89"/>
      <c r="AG75" s="77"/>
      <c r="AH75" s="89"/>
      <c r="AI75" s="89"/>
      <c r="AJ75" s="20"/>
      <c r="AK75" s="20"/>
      <c r="AL75" s="20"/>
      <c r="AM75" s="20"/>
      <c r="AN75" s="89"/>
      <c r="AO75" s="88"/>
      <c r="AP75" s="88"/>
      <c r="AQ75" s="88"/>
      <c r="AR75" s="88"/>
      <c r="AS75" s="20"/>
      <c r="AT75" s="20"/>
      <c r="AU75" s="20"/>
      <c r="AV75" s="20"/>
      <c r="AW75" s="88"/>
      <c r="AX75" s="89"/>
      <c r="AY75" s="89"/>
      <c r="AZ75" s="89"/>
      <c r="BA75" s="89"/>
      <c r="BB75" s="20"/>
      <c r="BC75" s="20"/>
      <c r="BD75" s="20"/>
      <c r="BE75" s="20"/>
      <c r="BF75" s="89"/>
      <c r="BG75" s="89"/>
      <c r="BR75" s="92"/>
      <c r="BS75" s="92"/>
      <c r="BT75" s="89"/>
    </row>
    <row r="76" spans="1:75" ht="15" x14ac:dyDescent="0.25">
      <c r="A76" s="92"/>
      <c r="B76" s="11"/>
      <c r="C76" s="121" t="s">
        <v>369</v>
      </c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92"/>
      <c r="BR76" s="92"/>
      <c r="BS76" s="92"/>
      <c r="BT76" s="89"/>
    </row>
    <row r="77" spans="1:75" ht="14.25" customHeight="1" x14ac:dyDescent="0.25">
      <c r="A77" s="92"/>
      <c r="B77" s="90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92"/>
      <c r="BR77" s="92"/>
      <c r="BS77" s="92"/>
      <c r="BT77" s="89"/>
    </row>
    <row r="78" spans="1:75" ht="14.25" customHeight="1" x14ac:dyDescent="0.25">
      <c r="A78" s="92"/>
      <c r="B78" s="90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92"/>
      <c r="BR78" s="92"/>
      <c r="BS78" s="92"/>
      <c r="BT78" s="89"/>
    </row>
    <row r="79" spans="1:75" ht="14.25" customHeight="1" x14ac:dyDescent="0.25">
      <c r="A79" s="92"/>
      <c r="B79" s="90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92"/>
      <c r="BR79" s="92"/>
      <c r="BS79" s="92"/>
      <c r="BT79" s="89"/>
    </row>
    <row r="80" spans="1:75" ht="14.25" customHeight="1" x14ac:dyDescent="0.25">
      <c r="A80" s="92"/>
      <c r="B80" s="90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92"/>
      <c r="BR80" s="92"/>
      <c r="BS80" s="92"/>
      <c r="BT80" s="89"/>
    </row>
    <row r="81" spans="1:72" ht="14.25" customHeight="1" x14ac:dyDescent="0.25">
      <c r="A81" s="92"/>
      <c r="B81" s="90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92"/>
      <c r="BR81" s="92"/>
      <c r="BS81" s="92"/>
      <c r="BT81" s="89"/>
    </row>
    <row r="82" spans="1:72" ht="14.25" customHeight="1" x14ac:dyDescent="0.25">
      <c r="A82" s="92"/>
      <c r="B82" s="90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92"/>
      <c r="BR82" s="92"/>
      <c r="BS82" s="92"/>
      <c r="BT82" s="89"/>
    </row>
    <row r="83" spans="1:72" ht="14.25" customHeight="1" x14ac:dyDescent="0.25">
      <c r="A83" s="92"/>
      <c r="B83" s="90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92"/>
      <c r="BR83" s="92"/>
      <c r="BS83" s="92"/>
      <c r="BT83" s="89"/>
    </row>
    <row r="84" spans="1:72" ht="14.25" customHeight="1" x14ac:dyDescent="0.25">
      <c r="A84" s="92"/>
      <c r="B84" s="90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92"/>
      <c r="BR84" s="92"/>
      <c r="BS84" s="92"/>
      <c r="BT84" s="89"/>
    </row>
    <row r="85" spans="1:72" ht="14.25" customHeight="1" x14ac:dyDescent="0.25">
      <c r="A85" s="92"/>
      <c r="B85" s="90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92"/>
      <c r="BR85" s="92"/>
      <c r="BS85" s="92"/>
      <c r="BT85" s="89"/>
    </row>
    <row r="86" spans="1:72" ht="14.25" customHeight="1" x14ac:dyDescent="0.25">
      <c r="A86" s="92"/>
      <c r="B86" s="90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92"/>
      <c r="BR86" s="92"/>
      <c r="BS86" s="92"/>
      <c r="BT86" s="89"/>
    </row>
    <row r="87" spans="1:72" ht="14.25" customHeight="1" x14ac:dyDescent="0.25">
      <c r="A87" s="92"/>
      <c r="B87" s="90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92"/>
      <c r="BR87" s="92"/>
      <c r="BS87" s="92"/>
      <c r="BT87" s="89"/>
    </row>
    <row r="88" spans="1:72" ht="14.25" customHeight="1" x14ac:dyDescent="0.25">
      <c r="A88" s="92"/>
      <c r="B88" s="90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92"/>
      <c r="BR88" s="92"/>
      <c r="BS88" s="92"/>
      <c r="BT88" s="89"/>
    </row>
    <row r="89" spans="1:72" ht="14.25" customHeight="1" x14ac:dyDescent="0.25">
      <c r="A89" s="92"/>
      <c r="B89" s="90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92"/>
      <c r="BR89" s="92"/>
      <c r="BS89" s="92"/>
      <c r="BT89" s="89"/>
    </row>
    <row r="90" spans="1:72" ht="14.25" customHeight="1" x14ac:dyDescent="0.25">
      <c r="A90" s="92"/>
      <c r="B90" s="90"/>
      <c r="C90" s="121"/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92"/>
      <c r="BR90" s="92"/>
      <c r="BS90" s="92"/>
      <c r="BT90" s="89"/>
    </row>
    <row r="91" spans="1:72" ht="14.25" customHeight="1" x14ac:dyDescent="0.25">
      <c r="A91" s="92"/>
      <c r="B91" s="90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92"/>
      <c r="BR91" s="92"/>
      <c r="BS91" s="92"/>
      <c r="BT91" s="89"/>
    </row>
    <row r="92" spans="1:72" ht="14.25" customHeight="1" x14ac:dyDescent="0.25">
      <c r="A92" s="92"/>
      <c r="B92" s="90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92"/>
      <c r="BR92" s="92"/>
      <c r="BS92" s="92"/>
      <c r="BT92" s="89"/>
    </row>
    <row r="93" spans="1:72" ht="14.25" customHeight="1" x14ac:dyDescent="0.25">
      <c r="A93" s="92"/>
      <c r="B93" s="90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92"/>
      <c r="BR93" s="92"/>
      <c r="BS93" s="92"/>
      <c r="BT93" s="89"/>
    </row>
    <row r="94" spans="1:72" ht="14.25" customHeight="1" x14ac:dyDescent="0.25">
      <c r="A94" s="92"/>
      <c r="B94" s="90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92"/>
      <c r="BR94" s="92"/>
      <c r="BS94" s="92"/>
      <c r="BT94" s="89"/>
    </row>
    <row r="95" spans="1:72" ht="14.25" customHeight="1" x14ac:dyDescent="0.25">
      <c r="A95" s="92"/>
      <c r="B95" s="90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92"/>
      <c r="BR95" s="92"/>
      <c r="BS95" s="92"/>
      <c r="BT95" s="89"/>
    </row>
    <row r="96" spans="1:72" ht="14.25" customHeight="1" x14ac:dyDescent="0.25">
      <c r="A96" s="92"/>
      <c r="B96" s="90"/>
      <c r="C96" s="121"/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92"/>
      <c r="BR96" s="92"/>
      <c r="BS96" s="92"/>
      <c r="BT96" s="89"/>
    </row>
    <row r="97" spans="1:72" ht="14.25" customHeight="1" x14ac:dyDescent="0.25">
      <c r="A97" s="92"/>
      <c r="B97" s="90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92"/>
      <c r="BR97" s="92"/>
      <c r="BS97" s="92"/>
      <c r="BT97" s="89"/>
    </row>
    <row r="98" spans="1:72" ht="14.25" customHeight="1" x14ac:dyDescent="0.25">
      <c r="A98" s="92"/>
      <c r="B98" s="90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92"/>
      <c r="BR98" s="92"/>
      <c r="BS98" s="92"/>
      <c r="BT98" s="89"/>
    </row>
    <row r="99" spans="1:72" ht="14.25" customHeight="1" x14ac:dyDescent="0.25">
      <c r="A99" s="92"/>
      <c r="B99" s="90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92"/>
      <c r="BR99" s="92"/>
      <c r="BS99" s="92"/>
      <c r="BT99" s="89"/>
    </row>
    <row r="100" spans="1:72" ht="14.25" customHeight="1" x14ac:dyDescent="0.25">
      <c r="A100" s="92"/>
      <c r="B100" s="90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92"/>
      <c r="BR100" s="92"/>
      <c r="BS100" s="92"/>
      <c r="BT100" s="92"/>
    </row>
    <row r="101" spans="1:72" ht="14.25" customHeight="1" x14ac:dyDescent="0.25">
      <c r="A101" s="92"/>
      <c r="B101" s="90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92"/>
      <c r="BR101" s="92"/>
      <c r="BS101" s="92"/>
      <c r="BT101" s="92"/>
    </row>
    <row r="102" spans="1:72" ht="14.25" customHeight="1" x14ac:dyDescent="0.25">
      <c r="A102" s="92"/>
      <c r="B102" s="90"/>
      <c r="C102" s="121"/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92"/>
      <c r="BR102" s="92"/>
      <c r="BS102" s="92"/>
      <c r="BT102" s="92"/>
    </row>
    <row r="103" spans="1:72" ht="14.25" customHeight="1" x14ac:dyDescent="0.25">
      <c r="A103" s="92"/>
      <c r="B103" s="90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92"/>
      <c r="BR103" s="92"/>
      <c r="BS103" s="92"/>
      <c r="BT103" s="92"/>
    </row>
    <row r="104" spans="1:72" ht="14.25" customHeight="1" x14ac:dyDescent="0.25">
      <c r="A104" s="92"/>
      <c r="B104" s="90"/>
      <c r="C104" s="121"/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92"/>
      <c r="BR104" s="92"/>
      <c r="BS104" s="92"/>
      <c r="BT104" s="92"/>
    </row>
    <row r="105" spans="1:72" ht="14.25" customHeight="1" x14ac:dyDescent="0.25">
      <c r="A105" s="92"/>
      <c r="B105" s="90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92"/>
      <c r="BR105" s="92"/>
      <c r="BS105" s="92"/>
      <c r="BT105" s="92"/>
    </row>
    <row r="106" spans="1:72" ht="15" x14ac:dyDescent="0.25">
      <c r="A106" s="92"/>
      <c r="B106" s="92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92"/>
      <c r="BR106" s="92"/>
      <c r="BS106" s="92"/>
      <c r="BT106" s="92"/>
    </row>
    <row r="107" spans="1:72" ht="14.25" customHeight="1" x14ac:dyDescent="0.25">
      <c r="A107" s="92"/>
      <c r="B107" s="92"/>
      <c r="C107" s="94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6"/>
      <c r="T107" s="20"/>
      <c r="U107" s="20"/>
      <c r="V107" s="100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2"/>
      <c r="AN107" s="19"/>
      <c r="AO107" s="20"/>
      <c r="AP107" s="100"/>
      <c r="AQ107" s="101"/>
      <c r="AR107" s="101"/>
      <c r="AS107" s="101"/>
      <c r="AT107" s="101"/>
      <c r="AU107" s="101"/>
      <c r="AV107" s="101"/>
      <c r="AW107" s="101"/>
      <c r="AX107" s="101"/>
      <c r="AY107" s="101"/>
      <c r="AZ107" s="101"/>
      <c r="BA107" s="101"/>
      <c r="BB107" s="101"/>
      <c r="BC107" s="101"/>
      <c r="BD107" s="101"/>
      <c r="BE107" s="101"/>
      <c r="BF107" s="102"/>
      <c r="BG107" s="92"/>
      <c r="BR107" s="92"/>
      <c r="BS107" s="92"/>
      <c r="BT107" s="92"/>
    </row>
    <row r="108" spans="1:72" ht="14.25" customHeight="1" x14ac:dyDescent="0.25">
      <c r="A108" s="92"/>
      <c r="B108" s="92"/>
      <c r="C108" s="97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9"/>
      <c r="T108" s="92"/>
      <c r="U108" s="92"/>
      <c r="V108" s="103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5"/>
      <c r="AN108" s="92"/>
      <c r="AO108" s="92"/>
      <c r="AP108" s="103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5"/>
      <c r="BG108" s="92"/>
      <c r="BR108" s="92"/>
      <c r="BS108" s="92"/>
      <c r="BT108" s="92"/>
    </row>
    <row r="109" spans="1:72" ht="14.25" customHeight="1" x14ac:dyDescent="0.25">
      <c r="A109" s="92"/>
      <c r="B109" s="92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92"/>
      <c r="U109" s="92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92"/>
      <c r="AO109" s="92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92"/>
      <c r="BR109" s="92"/>
      <c r="BS109" s="92"/>
      <c r="BT109" s="92"/>
    </row>
    <row r="110" spans="1:72" ht="14.25" customHeight="1" x14ac:dyDescent="0.25">
      <c r="A110" s="92"/>
      <c r="B110" s="92"/>
      <c r="C110" s="106" t="s">
        <v>35</v>
      </c>
      <c r="D110" s="106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28"/>
      <c r="U110" s="28"/>
      <c r="V110" s="106" t="s">
        <v>36</v>
      </c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28"/>
      <c r="AO110" s="28"/>
      <c r="AP110" s="106" t="s">
        <v>37</v>
      </c>
      <c r="AQ110" s="106"/>
      <c r="AR110" s="106"/>
      <c r="AS110" s="106"/>
      <c r="AT110" s="106"/>
      <c r="AU110" s="106"/>
      <c r="AV110" s="106"/>
      <c r="AW110" s="106"/>
      <c r="AX110" s="106"/>
      <c r="AY110" s="106"/>
      <c r="AZ110" s="106"/>
      <c r="BA110" s="106"/>
      <c r="BB110" s="106"/>
      <c r="BC110" s="106"/>
      <c r="BD110" s="106"/>
      <c r="BE110" s="106"/>
      <c r="BF110" s="106"/>
      <c r="BG110" s="28"/>
      <c r="BR110" s="92"/>
      <c r="BS110" s="92"/>
      <c r="BT110" s="92"/>
    </row>
  </sheetData>
  <mergeCells count="85">
    <mergeCell ref="C23:P24"/>
    <mergeCell ref="C17:G18"/>
    <mergeCell ref="I17:AC18"/>
    <mergeCell ref="AE17:AK18"/>
    <mergeCell ref="AL17:BF18"/>
    <mergeCell ref="Q23:S24"/>
    <mergeCell ref="C20:G21"/>
    <mergeCell ref="I20:AC21"/>
    <mergeCell ref="AE20:AJ21"/>
    <mergeCell ref="AL20:BF21"/>
    <mergeCell ref="AE23:AK24"/>
    <mergeCell ref="AL23:AP24"/>
    <mergeCell ref="B9:BF9"/>
    <mergeCell ref="AW14:BF15"/>
    <mergeCell ref="C14:H15"/>
    <mergeCell ref="I14:AC15"/>
    <mergeCell ref="AE14:AK15"/>
    <mergeCell ref="AL14:AP15"/>
    <mergeCell ref="AQ14:AV15"/>
    <mergeCell ref="C28:U29"/>
    <mergeCell ref="W28:AD29"/>
    <mergeCell ref="AG28:AJ29"/>
    <mergeCell ref="AK28:BD29"/>
    <mergeCell ref="C31:G32"/>
    <mergeCell ref="I31:V32"/>
    <mergeCell ref="W31:Z32"/>
    <mergeCell ref="AA31:AG32"/>
    <mergeCell ref="AH31:AK32"/>
    <mergeCell ref="AL31:AR32"/>
    <mergeCell ref="AS31:AX32"/>
    <mergeCell ref="AY31:BF32"/>
    <mergeCell ref="C34:G35"/>
    <mergeCell ref="I34:AP35"/>
    <mergeCell ref="AQ34:AX35"/>
    <mergeCell ref="AY34:BF35"/>
    <mergeCell ref="C37:Q38"/>
    <mergeCell ref="AL40:AR41"/>
    <mergeCell ref="AS40:AX41"/>
    <mergeCell ref="AY40:BF41"/>
    <mergeCell ref="C49:M49"/>
    <mergeCell ref="AF50:AL52"/>
    <mergeCell ref="C51:L52"/>
    <mergeCell ref="N51:AC52"/>
    <mergeCell ref="AM51:BF52"/>
    <mergeCell ref="C40:H41"/>
    <mergeCell ref="I40:V41"/>
    <mergeCell ref="W40:Z41"/>
    <mergeCell ref="AA40:AF41"/>
    <mergeCell ref="AG40:AK41"/>
    <mergeCell ref="AT54:AW55"/>
    <mergeCell ref="AY54:BB55"/>
    <mergeCell ref="BC54:BF55"/>
    <mergeCell ref="C57:M57"/>
    <mergeCell ref="AF58:AL60"/>
    <mergeCell ref="C59:L60"/>
    <mergeCell ref="N59:AC60"/>
    <mergeCell ref="AM59:BF60"/>
    <mergeCell ref="AP53:AS55"/>
    <mergeCell ref="C54:E55"/>
    <mergeCell ref="I54:AC55"/>
    <mergeCell ref="AH54:AI55"/>
    <mergeCell ref="AK54:AN55"/>
    <mergeCell ref="AT62:AW63"/>
    <mergeCell ref="AY62:BB63"/>
    <mergeCell ref="BC62:BF63"/>
    <mergeCell ref="C67:J69"/>
    <mergeCell ref="AD67:AL69"/>
    <mergeCell ref="M68:AB69"/>
    <mergeCell ref="AM68:BF69"/>
    <mergeCell ref="AP61:AS63"/>
    <mergeCell ref="C62:E63"/>
    <mergeCell ref="I62:AC63"/>
    <mergeCell ref="AH62:AI63"/>
    <mergeCell ref="AK62:AN63"/>
    <mergeCell ref="C71:I72"/>
    <mergeCell ref="M71:AB72"/>
    <mergeCell ref="AD71:AF72"/>
    <mergeCell ref="AM71:BF72"/>
    <mergeCell ref="C76:BF106"/>
    <mergeCell ref="C107:S108"/>
    <mergeCell ref="V107:AM108"/>
    <mergeCell ref="AP107:BF108"/>
    <mergeCell ref="C110:S110"/>
    <mergeCell ref="V110:AM110"/>
    <mergeCell ref="AP110:BF110"/>
  </mergeCells>
  <dataValidations xWindow="482" yWindow="556" count="5">
    <dataValidation type="date" operator="greaterThan" allowBlank="1" showInputMessage="1" showErrorMessage="1" promptTitle="Введите дату в формате " prompt="&quot;ДД.ММ.ГГГГ&quot;" sqref="AL14:AP15">
      <formula1>3654</formula1>
    </dataValidation>
    <dataValidation operator="equal" allowBlank="1" showInputMessage="1" showErrorMessage="1" sqref="AA40:AF41 AL40:AR41 AA31:AG32 AL31:AR32 AK28"/>
    <dataValidation type="date" operator="greaterThan" allowBlank="1" showInputMessage="1" showErrorMessage="1" promptTitle="Введите дату в формате " prompt="&quot;ДД.ММ.ГГГГ&quot;" sqref="AY40:BF41 AY31:BF32">
      <formula1>1</formula1>
    </dataValidation>
    <dataValidation allowBlank="1" showInputMessage="1" showErrorMessage="1" promptTitle="Введите номер в формате" prompt="&quot;XXXXXXXXXXX&quot;" sqref="M68:AB69 AM68 M71:AB72"/>
    <dataValidation type="date" operator="greaterThan" allowBlank="1" showInputMessage="1" showErrorMessage="1" promptTitle="Введите дату в формате" prompt="&quot;ДД.ММ.ГГГГ&quot;" sqref="C107:S109">
      <formula1>36526</formula1>
    </dataValidation>
  </dataValidations>
  <printOptions horizontalCentered="1"/>
  <pageMargins left="0.59055118110236227" right="0" top="0" bottom="0.39370078740157483" header="0" footer="0"/>
  <pageSetup paperSize="9" scale="50" fitToHeight="0" orientation="portrait" r:id="rId1"/>
  <headerFooter>
    <oddFooter>&amp;L__________________________
                       (Дата)&amp;C__________________________
(подпись подписанта)&amp;R____________________________
(полностью ФИО подписанта)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Кнопка 2">
              <controlPr defaultSize="0" print="0" autoFill="0" autoPict="0" macro="[0]!step_1">
                <anchor moveWithCells="1" sizeWithCells="1">
                  <from>
                    <xdr:col>64</xdr:col>
                    <xdr:colOff>19050</xdr:colOff>
                    <xdr:row>14</xdr:row>
                    <xdr:rowOff>85725</xdr:rowOff>
                  </from>
                  <to>
                    <xdr:col>74</xdr:col>
                    <xdr:colOff>9525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82" yWindow="556" count="4">
        <x14:dataValidation type="list" allowBlank="1" showInputMessage="1" showErrorMessage="1" error="Некорректное значение" prompt="Выберите значение из списка">
          <x14:formula1>
            <xm:f>DB!$A$2:$A$4</xm:f>
          </x14:formula1>
          <xm:sqref>AW14:BF15</xm:sqref>
        </x14:dataValidation>
        <x14:dataValidation type="list" allowBlank="1" showInputMessage="1" showErrorMessage="1" prompt="Выберите из списка">
          <x14:formula1>
            <xm:f>DB!$B$2:$B$3</xm:f>
          </x14:formula1>
          <xm:sqref>Q23:S24</xm:sqref>
        </x14:dataValidation>
        <x14:dataValidation type="list" operator="greaterThan" allowBlank="1" showInputMessage="1" showErrorMessage="1" prompt="Выберите значение из списка">
          <x14:formula1>
            <xm:f>DB!$E$2:$E$3</xm:f>
          </x14:formula1>
          <xm:sqref>AL23:AP24</xm:sqref>
        </x14:dataValidation>
        <x14:dataValidation type="list" operator="equal" allowBlank="1" showInputMessage="1" prompt="Выберите из списка">
          <x14:formula1>
            <xm:f>DB!$C$3:$C$4</xm:f>
          </x14:formula1>
          <xm:sqref>W28:AD29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5:EB163"/>
  <sheetViews>
    <sheetView topLeftCell="A120" zoomScale="85" zoomScaleNormal="85" workbookViewId="0">
      <selection activeCell="C120" sqref="C120:BF150"/>
    </sheetView>
  </sheetViews>
  <sheetFormatPr defaultColWidth="3" defaultRowHeight="14.25" customHeight="1" x14ac:dyDescent="0.25"/>
  <cols>
    <col min="1" max="75" width="3.140625" style="27" customWidth="1"/>
    <col min="76" max="16384" width="3" style="27"/>
  </cols>
  <sheetData>
    <row r="25" spans="3:43" ht="14.25" customHeight="1" x14ac:dyDescent="0.25">
      <c r="C25" s="143" t="s">
        <v>13</v>
      </c>
      <c r="D25" s="143"/>
      <c r="E25" s="143"/>
      <c r="F25" s="143"/>
      <c r="G25" s="143"/>
      <c r="H25" s="39"/>
      <c r="I25" s="169"/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171"/>
      <c r="AD25" s="39"/>
      <c r="AE25" s="160" t="s">
        <v>16</v>
      </c>
      <c r="AF25" s="155"/>
      <c r="AG25" s="155"/>
      <c r="AH25" s="155"/>
      <c r="AI25" s="155"/>
      <c r="AJ25" s="155"/>
      <c r="AK25" s="147"/>
      <c r="AL25" s="33"/>
      <c r="AM25" s="194"/>
      <c r="AN25" s="195"/>
      <c r="AO25" s="195"/>
      <c r="AP25" s="195"/>
      <c r="AQ25" s="196"/>
    </row>
    <row r="26" spans="3:43" ht="14.25" customHeight="1" x14ac:dyDescent="0.25">
      <c r="C26" s="143"/>
      <c r="D26" s="143"/>
      <c r="E26" s="143"/>
      <c r="F26" s="143"/>
      <c r="G26" s="143"/>
      <c r="H26" s="39"/>
      <c r="I26" s="172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4"/>
      <c r="AD26" s="39"/>
      <c r="AE26" s="155"/>
      <c r="AF26" s="155"/>
      <c r="AG26" s="155"/>
      <c r="AH26" s="155"/>
      <c r="AI26" s="155"/>
      <c r="AJ26" s="155"/>
      <c r="AK26" s="147"/>
      <c r="AL26" s="33"/>
      <c r="AM26" s="197"/>
      <c r="AN26" s="198"/>
      <c r="AO26" s="198"/>
      <c r="AP26" s="198"/>
      <c r="AQ26" s="199"/>
    </row>
    <row r="27" spans="3:43" ht="14.25" customHeight="1" x14ac:dyDescent="0.25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</row>
    <row r="28" spans="3:43" ht="14.25" customHeight="1" x14ac:dyDescent="0.25">
      <c r="C28" s="160" t="s">
        <v>14</v>
      </c>
      <c r="D28" s="160"/>
      <c r="E28" s="160"/>
      <c r="F28" s="160"/>
      <c r="G28" s="160"/>
      <c r="H28" s="39"/>
      <c r="I28" s="169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170"/>
      <c r="AC28" s="171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</row>
    <row r="29" spans="3:43" ht="14.25" customHeight="1" x14ac:dyDescent="0.25">
      <c r="C29" s="160"/>
      <c r="D29" s="160"/>
      <c r="E29" s="160"/>
      <c r="F29" s="160"/>
      <c r="G29" s="160"/>
      <c r="H29" s="39"/>
      <c r="I29" s="172"/>
      <c r="J29" s="173"/>
      <c r="K29" s="173"/>
      <c r="L29" s="173"/>
      <c r="M29" s="173"/>
      <c r="N29" s="173"/>
      <c r="O29" s="173"/>
      <c r="P29" s="173"/>
      <c r="Q29" s="173"/>
      <c r="R29" s="173"/>
      <c r="S29" s="173"/>
      <c r="T29" s="173"/>
      <c r="U29" s="173"/>
      <c r="V29" s="173"/>
      <c r="W29" s="173"/>
      <c r="X29" s="173"/>
      <c r="Y29" s="173"/>
      <c r="Z29" s="173"/>
      <c r="AA29" s="173"/>
      <c r="AB29" s="173"/>
      <c r="AC29" s="174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</row>
    <row r="30" spans="3:43" ht="14.25" customHeight="1" x14ac:dyDescent="0.2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</row>
    <row r="31" spans="3:43" ht="14.25" customHeight="1" x14ac:dyDescent="0.25">
      <c r="C31" s="143" t="s">
        <v>15</v>
      </c>
      <c r="D31" s="143"/>
      <c r="E31" s="143"/>
      <c r="F31" s="143"/>
      <c r="G31" s="143"/>
      <c r="H31" s="144"/>
      <c r="I31" s="169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1"/>
      <c r="AD31" s="39"/>
      <c r="AE31" s="40"/>
      <c r="AF31" s="143"/>
      <c r="AG31" s="143"/>
      <c r="AH31" s="143"/>
      <c r="AI31" s="143"/>
      <c r="AJ31" s="143"/>
      <c r="AK31" s="40"/>
      <c r="AL31" s="40"/>
      <c r="AM31" s="40"/>
      <c r="AN31" s="40"/>
      <c r="AO31" s="40"/>
      <c r="AP31" s="40"/>
    </row>
    <row r="32" spans="3:43" ht="14.25" customHeight="1" x14ac:dyDescent="0.25">
      <c r="C32" s="143"/>
      <c r="D32" s="143"/>
      <c r="E32" s="143"/>
      <c r="F32" s="143"/>
      <c r="G32" s="143"/>
      <c r="H32" s="144"/>
      <c r="I32" s="172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4"/>
      <c r="AD32" s="39"/>
      <c r="AE32" s="40"/>
      <c r="AF32" s="143"/>
      <c r="AG32" s="143"/>
      <c r="AH32" s="143"/>
      <c r="AI32" s="143"/>
      <c r="AJ32" s="143"/>
      <c r="AK32" s="40"/>
      <c r="AL32" s="40"/>
      <c r="AM32" s="40"/>
      <c r="AN32" s="40"/>
      <c r="AO32" s="40"/>
      <c r="AP32" s="40"/>
    </row>
    <row r="34" spans="1:59" ht="14.25" customHeight="1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7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</row>
    <row r="35" spans="1:59" ht="14.25" customHeight="1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</row>
    <row r="36" spans="1:59" ht="14.25" customHeight="1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</row>
    <row r="37" spans="1:59" ht="14.25" customHeight="1" x14ac:dyDescent="0.25">
      <c r="A37" s="39"/>
      <c r="B37" s="39"/>
      <c r="C37" s="160" t="s">
        <v>338</v>
      </c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39"/>
      <c r="W37" s="94"/>
      <c r="X37" s="95"/>
      <c r="Y37" s="95"/>
      <c r="Z37" s="95"/>
      <c r="AA37" s="95"/>
      <c r="AB37" s="95"/>
      <c r="AC37" s="95"/>
      <c r="AD37" s="96"/>
      <c r="AG37" s="162" t="s">
        <v>344</v>
      </c>
      <c r="AH37" s="162"/>
      <c r="AI37" s="162"/>
      <c r="AJ37" s="162"/>
      <c r="AK37" s="115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  <c r="AZ37" s="116"/>
      <c r="BA37" s="116"/>
      <c r="BB37" s="116"/>
      <c r="BC37" s="116"/>
      <c r="BD37" s="117"/>
      <c r="BG37" s="39"/>
    </row>
    <row r="38" spans="1:59" ht="14.25" customHeight="1" x14ac:dyDescent="0.25">
      <c r="A38" s="39"/>
      <c r="B38" s="39"/>
      <c r="C38" s="161"/>
      <c r="D38" s="161"/>
      <c r="E38" s="161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1"/>
      <c r="V38" s="39"/>
      <c r="W38" s="97"/>
      <c r="X38" s="98"/>
      <c r="Y38" s="98"/>
      <c r="Z38" s="98"/>
      <c r="AA38" s="98"/>
      <c r="AB38" s="98"/>
      <c r="AC38" s="98"/>
      <c r="AD38" s="99"/>
      <c r="AG38" s="162"/>
      <c r="AH38" s="162"/>
      <c r="AI38" s="162"/>
      <c r="AJ38" s="162"/>
      <c r="AK38" s="118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20"/>
      <c r="BG38" s="39"/>
    </row>
    <row r="39" spans="1:59" ht="14.25" customHeight="1" x14ac:dyDescent="0.25">
      <c r="A39" s="39"/>
      <c r="B39" s="39"/>
      <c r="C39" s="71"/>
      <c r="D39" s="71"/>
      <c r="E39" s="71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1"/>
      <c r="W39" s="46"/>
      <c r="X39" s="46"/>
      <c r="Y39" s="46"/>
      <c r="Z39" s="46"/>
      <c r="AA39" s="46"/>
      <c r="AB39" s="46"/>
      <c r="AC39" s="46"/>
      <c r="AD39" s="21"/>
      <c r="AE39" s="21"/>
      <c r="AF39" s="21"/>
      <c r="AG39" s="31"/>
      <c r="AH39" s="31"/>
      <c r="AI39" s="31"/>
      <c r="AJ39" s="31"/>
      <c r="AK39" s="31"/>
      <c r="AL39" s="31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1"/>
      <c r="AY39" s="25"/>
      <c r="AZ39" s="25"/>
      <c r="BA39" s="25"/>
      <c r="BB39" s="25"/>
      <c r="BC39" s="25"/>
      <c r="BD39" s="25"/>
      <c r="BE39" s="25"/>
      <c r="BF39" s="25"/>
      <c r="BG39" s="39"/>
    </row>
    <row r="40" spans="1:59" ht="14.25" customHeight="1" x14ac:dyDescent="0.25">
      <c r="A40" s="39"/>
      <c r="B40" s="39"/>
      <c r="C40" s="143" t="s">
        <v>345</v>
      </c>
      <c r="D40" s="143"/>
      <c r="E40" s="143"/>
      <c r="F40" s="143"/>
      <c r="G40" s="143"/>
      <c r="H40" s="71"/>
      <c r="I40" s="100" t="s">
        <v>31</v>
      </c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2"/>
      <c r="W40" s="145" t="s">
        <v>346</v>
      </c>
      <c r="X40" s="163"/>
      <c r="Y40" s="163"/>
      <c r="Z40" s="164"/>
      <c r="AA40" s="115"/>
      <c r="AB40" s="116"/>
      <c r="AC40" s="116"/>
      <c r="AD40" s="116"/>
      <c r="AE40" s="116"/>
      <c r="AF40" s="116"/>
      <c r="AG40" s="117"/>
      <c r="AH40" s="145" t="s">
        <v>347</v>
      </c>
      <c r="AI40" s="163"/>
      <c r="AJ40" s="163"/>
      <c r="AK40" s="164"/>
      <c r="AL40" s="115"/>
      <c r="AM40" s="116"/>
      <c r="AN40" s="116"/>
      <c r="AO40" s="116"/>
      <c r="AP40" s="116"/>
      <c r="AQ40" s="116"/>
      <c r="AR40" s="117"/>
      <c r="AS40" s="165" t="s">
        <v>348</v>
      </c>
      <c r="AT40" s="166"/>
      <c r="AU40" s="166"/>
      <c r="AV40" s="166"/>
      <c r="AW40" s="166"/>
      <c r="AX40" s="167"/>
      <c r="AY40" s="94"/>
      <c r="AZ40" s="95"/>
      <c r="BA40" s="95"/>
      <c r="BB40" s="95"/>
      <c r="BC40" s="95"/>
      <c r="BD40" s="95"/>
      <c r="BE40" s="95"/>
      <c r="BF40" s="96"/>
      <c r="BG40" s="39"/>
    </row>
    <row r="41" spans="1:59" ht="14.25" customHeight="1" x14ac:dyDescent="0.25">
      <c r="A41" s="39"/>
      <c r="B41" s="39"/>
      <c r="C41" s="143"/>
      <c r="D41" s="143"/>
      <c r="E41" s="143"/>
      <c r="F41" s="143"/>
      <c r="G41" s="143"/>
      <c r="H41" s="71"/>
      <c r="I41" s="103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5"/>
      <c r="W41" s="145"/>
      <c r="X41" s="163"/>
      <c r="Y41" s="163"/>
      <c r="Z41" s="164"/>
      <c r="AA41" s="118"/>
      <c r="AB41" s="119"/>
      <c r="AC41" s="119"/>
      <c r="AD41" s="119"/>
      <c r="AE41" s="119"/>
      <c r="AF41" s="119"/>
      <c r="AG41" s="120"/>
      <c r="AH41" s="145"/>
      <c r="AI41" s="163"/>
      <c r="AJ41" s="163"/>
      <c r="AK41" s="164"/>
      <c r="AL41" s="118"/>
      <c r="AM41" s="119"/>
      <c r="AN41" s="119"/>
      <c r="AO41" s="119"/>
      <c r="AP41" s="119"/>
      <c r="AQ41" s="119"/>
      <c r="AR41" s="120"/>
      <c r="AS41" s="165"/>
      <c r="AT41" s="166"/>
      <c r="AU41" s="166"/>
      <c r="AV41" s="166"/>
      <c r="AW41" s="166"/>
      <c r="AX41" s="167"/>
      <c r="AY41" s="97"/>
      <c r="AZ41" s="98"/>
      <c r="BA41" s="98"/>
      <c r="BB41" s="98"/>
      <c r="BC41" s="98"/>
      <c r="BD41" s="98"/>
      <c r="BE41" s="98"/>
      <c r="BF41" s="99"/>
      <c r="BG41" s="39"/>
    </row>
    <row r="42" spans="1:59" ht="14.25" customHeight="1" x14ac:dyDescent="0.25">
      <c r="A42" s="39"/>
      <c r="B42" s="39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  <c r="BC42" s="71"/>
      <c r="BD42" s="71"/>
      <c r="BE42" s="71"/>
      <c r="BF42" s="71"/>
      <c r="BG42" s="39"/>
    </row>
    <row r="43" spans="1:59" ht="14.25" customHeight="1" x14ac:dyDescent="0.25">
      <c r="A43" s="39"/>
      <c r="B43" s="39"/>
      <c r="C43" s="143" t="s">
        <v>349</v>
      </c>
      <c r="D43" s="143"/>
      <c r="E43" s="143"/>
      <c r="F43" s="143"/>
      <c r="G43" s="143"/>
      <c r="H43" s="71"/>
      <c r="I43" s="115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7"/>
      <c r="AQ43" s="138" t="s">
        <v>350</v>
      </c>
      <c r="AR43" s="157"/>
      <c r="AS43" s="157"/>
      <c r="AT43" s="157"/>
      <c r="AU43" s="157"/>
      <c r="AV43" s="157"/>
      <c r="AW43" s="157"/>
      <c r="AX43" s="158"/>
      <c r="AY43" s="115"/>
      <c r="AZ43" s="116"/>
      <c r="BA43" s="116"/>
      <c r="BB43" s="116"/>
      <c r="BC43" s="116"/>
      <c r="BD43" s="116"/>
      <c r="BE43" s="116"/>
      <c r="BF43" s="117"/>
      <c r="BG43" s="39"/>
    </row>
    <row r="44" spans="1:59" ht="14.25" customHeight="1" x14ac:dyDescent="0.25">
      <c r="A44" s="39"/>
      <c r="B44" s="39"/>
      <c r="C44" s="143"/>
      <c r="D44" s="143"/>
      <c r="E44" s="143"/>
      <c r="F44" s="143"/>
      <c r="G44" s="143"/>
      <c r="H44" s="71"/>
      <c r="I44" s="118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20"/>
      <c r="AQ44" s="138"/>
      <c r="AR44" s="157"/>
      <c r="AS44" s="157"/>
      <c r="AT44" s="157"/>
      <c r="AU44" s="157"/>
      <c r="AV44" s="157"/>
      <c r="AW44" s="157"/>
      <c r="AX44" s="158"/>
      <c r="AY44" s="118"/>
      <c r="AZ44" s="119"/>
      <c r="BA44" s="119"/>
      <c r="BB44" s="119"/>
      <c r="BC44" s="119"/>
      <c r="BD44" s="119"/>
      <c r="BE44" s="119"/>
      <c r="BF44" s="120"/>
      <c r="BG44" s="39"/>
    </row>
    <row r="45" spans="1:59" ht="14.25" customHeight="1" x14ac:dyDescent="0.25">
      <c r="A45" s="39"/>
      <c r="B45" s="39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39"/>
    </row>
    <row r="46" spans="1:59" ht="14.25" customHeight="1" x14ac:dyDescent="0.25">
      <c r="A46" s="39"/>
      <c r="B46" s="39"/>
      <c r="C46" s="159" t="s">
        <v>17</v>
      </c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1"/>
      <c r="BF46" s="71"/>
      <c r="BG46" s="39"/>
    </row>
    <row r="47" spans="1:59" ht="14.25" customHeight="1" x14ac:dyDescent="0.25">
      <c r="A47" s="39"/>
      <c r="B47" s="3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39"/>
    </row>
    <row r="48" spans="1:59" ht="14.25" customHeight="1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</row>
    <row r="49" spans="1:59" ht="14.25" customHeight="1" x14ac:dyDescent="0.25">
      <c r="A49" s="39"/>
      <c r="B49" s="39"/>
      <c r="C49" s="143" t="s">
        <v>351</v>
      </c>
      <c r="D49" s="143"/>
      <c r="E49" s="143"/>
      <c r="F49" s="143"/>
      <c r="G49" s="143"/>
      <c r="H49" s="144"/>
      <c r="I49" s="115" t="s">
        <v>31</v>
      </c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4"/>
      <c r="W49" s="145" t="s">
        <v>352</v>
      </c>
      <c r="X49" s="146"/>
      <c r="Y49" s="146"/>
      <c r="Z49" s="147"/>
      <c r="AA49" s="148"/>
      <c r="AB49" s="149"/>
      <c r="AC49" s="149"/>
      <c r="AD49" s="149"/>
      <c r="AE49" s="149"/>
      <c r="AF49" s="150"/>
      <c r="AG49" s="154" t="s">
        <v>353</v>
      </c>
      <c r="AH49" s="155"/>
      <c r="AI49" s="155"/>
      <c r="AJ49" s="155"/>
      <c r="AK49" s="144"/>
      <c r="AL49" s="115"/>
      <c r="AM49" s="133"/>
      <c r="AN49" s="133"/>
      <c r="AO49" s="133"/>
      <c r="AP49" s="133"/>
      <c r="AQ49" s="133"/>
      <c r="AR49" s="134"/>
      <c r="AS49" s="138" t="s">
        <v>354</v>
      </c>
      <c r="AT49" s="139"/>
      <c r="AU49" s="139"/>
      <c r="AV49" s="139"/>
      <c r="AW49" s="139"/>
      <c r="AX49" s="140"/>
      <c r="AY49" s="94"/>
      <c r="AZ49" s="95"/>
      <c r="BA49" s="95"/>
      <c r="BB49" s="95"/>
      <c r="BC49" s="95"/>
      <c r="BD49" s="95"/>
      <c r="BE49" s="95"/>
      <c r="BF49" s="96"/>
      <c r="BG49" s="39"/>
    </row>
    <row r="50" spans="1:59" ht="14.25" customHeight="1" x14ac:dyDescent="0.25">
      <c r="A50" s="39"/>
      <c r="B50" s="39"/>
      <c r="C50" s="143"/>
      <c r="D50" s="143"/>
      <c r="E50" s="143"/>
      <c r="F50" s="143"/>
      <c r="G50" s="143"/>
      <c r="H50" s="144"/>
      <c r="I50" s="135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7"/>
      <c r="W50" s="145"/>
      <c r="X50" s="146"/>
      <c r="Y50" s="146"/>
      <c r="Z50" s="147"/>
      <c r="AA50" s="151"/>
      <c r="AB50" s="152"/>
      <c r="AC50" s="152"/>
      <c r="AD50" s="152"/>
      <c r="AE50" s="152"/>
      <c r="AF50" s="153"/>
      <c r="AG50" s="156"/>
      <c r="AH50" s="155"/>
      <c r="AI50" s="155"/>
      <c r="AJ50" s="155"/>
      <c r="AK50" s="144"/>
      <c r="AL50" s="135"/>
      <c r="AM50" s="136"/>
      <c r="AN50" s="136"/>
      <c r="AO50" s="136"/>
      <c r="AP50" s="136"/>
      <c r="AQ50" s="136"/>
      <c r="AR50" s="137"/>
      <c r="AS50" s="141"/>
      <c r="AT50" s="139"/>
      <c r="AU50" s="139"/>
      <c r="AV50" s="139"/>
      <c r="AW50" s="139"/>
      <c r="AX50" s="140"/>
      <c r="AY50" s="97"/>
      <c r="AZ50" s="98"/>
      <c r="BA50" s="98"/>
      <c r="BB50" s="98"/>
      <c r="BC50" s="98"/>
      <c r="BD50" s="98"/>
      <c r="BE50" s="98"/>
      <c r="BF50" s="99"/>
      <c r="BG50" s="39"/>
    </row>
    <row r="51" spans="1:59" ht="14.25" customHeight="1" x14ac:dyDescent="0.25">
      <c r="A51" s="39"/>
      <c r="B51" s="39"/>
      <c r="BG51" s="39"/>
    </row>
    <row r="52" spans="1:59" ht="14.25" customHeight="1" x14ac:dyDescent="0.25">
      <c r="A52" s="39"/>
      <c r="B52" s="39"/>
      <c r="BG52" s="39"/>
    </row>
    <row r="53" spans="1:59" ht="4.5" customHeight="1" x14ac:dyDescent="0.25">
      <c r="A53" s="39"/>
      <c r="B53" s="39"/>
      <c r="BG53" s="39"/>
    </row>
    <row r="54" spans="1:59" ht="14.25" hidden="1" customHeight="1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</row>
    <row r="55" spans="1:59" ht="14.25" customHeight="1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</row>
    <row r="56" spans="1:59" ht="14.25" customHeight="1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</row>
    <row r="57" spans="1:59" ht="14.25" customHeight="1" x14ac:dyDescent="0.25">
      <c r="A57" s="39"/>
      <c r="B57" s="39"/>
      <c r="C57" s="39"/>
      <c r="D57" s="39"/>
      <c r="E57" s="39"/>
      <c r="F57" s="39"/>
      <c r="G57" s="39"/>
      <c r="H57" s="37" t="s">
        <v>18</v>
      </c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23" t="s">
        <v>19</v>
      </c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23" t="s">
        <v>20</v>
      </c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23" t="s">
        <v>21</v>
      </c>
      <c r="BB57" s="39"/>
      <c r="BC57" s="39"/>
      <c r="BD57" s="39"/>
      <c r="BE57" s="39"/>
      <c r="BF57" s="39"/>
      <c r="BG57" s="39"/>
    </row>
    <row r="58" spans="1:59" ht="14.25" customHeight="1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8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8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8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8"/>
      <c r="BB58" s="39"/>
      <c r="BC58" s="39"/>
      <c r="BD58" s="39"/>
      <c r="BE58" s="39"/>
      <c r="BF58" s="39"/>
      <c r="BG58" s="39"/>
    </row>
    <row r="59" spans="1:59" ht="14.25" customHeight="1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40" t="s">
        <v>22</v>
      </c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</row>
    <row r="60" spans="1:59" ht="14.25" customHeight="1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</row>
    <row r="61" spans="1:59" ht="14.25" customHeight="1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</row>
    <row r="62" spans="1:59" ht="14.25" customHeight="1" x14ac:dyDescent="0.25">
      <c r="A62" s="39"/>
      <c r="B62" s="39"/>
      <c r="C62" s="160" t="s">
        <v>23</v>
      </c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80"/>
      <c r="O62" s="144"/>
      <c r="P62" s="115"/>
      <c r="Q62" s="133"/>
      <c r="R62" s="133"/>
      <c r="S62" s="133"/>
      <c r="T62" s="134"/>
      <c r="U62" s="9"/>
      <c r="V62" s="146" t="s">
        <v>24</v>
      </c>
      <c r="W62" s="146"/>
      <c r="X62" s="146"/>
      <c r="Y62" s="146"/>
      <c r="Z62" s="146"/>
      <c r="AA62" s="146"/>
      <c r="AB62" s="146"/>
      <c r="AC62" s="164"/>
      <c r="AD62" s="115"/>
      <c r="AE62" s="116"/>
      <c r="AF62" s="116"/>
      <c r="AG62" s="116"/>
      <c r="AH62" s="116"/>
      <c r="AI62" s="116"/>
      <c r="AJ62" s="116"/>
      <c r="AK62" s="117"/>
      <c r="AL62" s="39"/>
      <c r="AM62" s="39"/>
      <c r="AN62" s="39"/>
      <c r="AO62" s="39"/>
      <c r="AP62" s="207" t="s">
        <v>88</v>
      </c>
      <c r="AQ62" s="208"/>
      <c r="AR62" s="208"/>
      <c r="AS62" s="208"/>
      <c r="AT62" s="208"/>
      <c r="AU62" s="208"/>
      <c r="AV62" s="208"/>
      <c r="AW62" s="208"/>
      <c r="AX62" s="209"/>
      <c r="AY62" s="201"/>
      <c r="AZ62" s="202"/>
      <c r="BA62" s="202"/>
      <c r="BB62" s="202"/>
      <c r="BC62" s="202"/>
      <c r="BD62" s="202"/>
      <c r="BE62" s="202"/>
      <c r="BF62" s="203"/>
      <c r="BG62" s="39"/>
    </row>
    <row r="63" spans="1:59" ht="14.25" customHeight="1" x14ac:dyDescent="0.25">
      <c r="A63" s="39"/>
      <c r="B63" s="39"/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80"/>
      <c r="O63" s="144"/>
      <c r="P63" s="135"/>
      <c r="Q63" s="136"/>
      <c r="R63" s="136"/>
      <c r="S63" s="136"/>
      <c r="T63" s="137"/>
      <c r="U63" s="10"/>
      <c r="V63" s="146"/>
      <c r="W63" s="146"/>
      <c r="X63" s="146"/>
      <c r="Y63" s="146"/>
      <c r="Z63" s="146"/>
      <c r="AA63" s="146"/>
      <c r="AB63" s="146"/>
      <c r="AC63" s="164"/>
      <c r="AD63" s="118"/>
      <c r="AE63" s="119"/>
      <c r="AF63" s="119"/>
      <c r="AG63" s="119"/>
      <c r="AH63" s="119"/>
      <c r="AI63" s="119"/>
      <c r="AJ63" s="119"/>
      <c r="AK63" s="120"/>
      <c r="AL63" s="10"/>
      <c r="AM63" s="10"/>
      <c r="AN63" s="10"/>
      <c r="AO63" s="10"/>
      <c r="AP63" s="208"/>
      <c r="AQ63" s="208"/>
      <c r="AR63" s="208"/>
      <c r="AS63" s="208"/>
      <c r="AT63" s="208"/>
      <c r="AU63" s="208"/>
      <c r="AV63" s="208"/>
      <c r="AW63" s="208"/>
      <c r="AX63" s="209"/>
      <c r="AY63" s="204"/>
      <c r="AZ63" s="205"/>
      <c r="BA63" s="205"/>
      <c r="BB63" s="205"/>
      <c r="BC63" s="205"/>
      <c r="BD63" s="205"/>
      <c r="BE63" s="205"/>
      <c r="BF63" s="206"/>
      <c r="BG63" s="39"/>
    </row>
    <row r="64" spans="1:59" ht="14.25" customHeight="1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40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</row>
    <row r="65" spans="1:60" ht="14.25" customHeight="1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</row>
    <row r="66" spans="1:60" ht="14.25" customHeight="1" x14ac:dyDescent="0.25">
      <c r="A66" s="39"/>
      <c r="B66" s="39"/>
      <c r="C66" s="143" t="s">
        <v>25</v>
      </c>
      <c r="D66" s="143"/>
      <c r="E66" s="143"/>
      <c r="F66" s="143"/>
      <c r="G66" s="211"/>
      <c r="H66" s="155"/>
      <c r="I66" s="144"/>
      <c r="J66" s="115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7"/>
      <c r="AO66" s="39"/>
      <c r="AP66" s="163" t="s">
        <v>26</v>
      </c>
      <c r="AQ66" s="163"/>
      <c r="AR66" s="163"/>
      <c r="AS66" s="163"/>
      <c r="AT66" s="163"/>
      <c r="AU66" s="163"/>
      <c r="AV66" s="163"/>
      <c r="AW66" s="155"/>
      <c r="AX66" s="144"/>
      <c r="AY66" s="115"/>
      <c r="AZ66" s="116"/>
      <c r="BA66" s="116"/>
      <c r="BB66" s="116"/>
      <c r="BC66" s="116"/>
      <c r="BD66" s="116"/>
      <c r="BE66" s="116"/>
      <c r="BF66" s="117"/>
      <c r="BG66" s="39"/>
    </row>
    <row r="67" spans="1:60" ht="14.25" customHeight="1" x14ac:dyDescent="0.25">
      <c r="A67" s="39"/>
      <c r="B67" s="39"/>
      <c r="C67" s="143"/>
      <c r="D67" s="143"/>
      <c r="E67" s="143"/>
      <c r="F67" s="143"/>
      <c r="G67" s="211"/>
      <c r="H67" s="155"/>
      <c r="I67" s="144"/>
      <c r="J67" s="118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20"/>
      <c r="AO67" s="39"/>
      <c r="AP67" s="163"/>
      <c r="AQ67" s="163"/>
      <c r="AR67" s="163"/>
      <c r="AS67" s="163"/>
      <c r="AT67" s="163"/>
      <c r="AU67" s="163"/>
      <c r="AV67" s="163"/>
      <c r="AW67" s="155"/>
      <c r="AX67" s="144"/>
      <c r="AY67" s="118"/>
      <c r="AZ67" s="119"/>
      <c r="BA67" s="119"/>
      <c r="BB67" s="119"/>
      <c r="BC67" s="119"/>
      <c r="BD67" s="119"/>
      <c r="BE67" s="119"/>
      <c r="BF67" s="120"/>
      <c r="BG67" s="39"/>
    </row>
    <row r="68" spans="1:60" ht="14.25" customHeight="1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</row>
    <row r="69" spans="1:60" ht="14.25" customHeight="1" x14ac:dyDescent="0.25">
      <c r="A69" s="39"/>
      <c r="B69" s="39"/>
      <c r="C69" s="160" t="s">
        <v>27</v>
      </c>
      <c r="D69" s="160"/>
      <c r="E69" s="160"/>
      <c r="F69" s="160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0"/>
      <c r="W69" s="160"/>
      <c r="X69" s="160"/>
      <c r="Y69" s="160"/>
      <c r="Z69" s="160"/>
      <c r="AA69" s="160"/>
      <c r="AB69" s="175"/>
      <c r="AC69" s="94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6"/>
      <c r="BG69" s="39"/>
    </row>
    <row r="70" spans="1:60" ht="14.25" customHeight="1" x14ac:dyDescent="0.25">
      <c r="A70" s="39"/>
      <c r="B70" s="39"/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0"/>
      <c r="W70" s="160"/>
      <c r="X70" s="160"/>
      <c r="Y70" s="160"/>
      <c r="Z70" s="160"/>
      <c r="AA70" s="160"/>
      <c r="AB70" s="175"/>
      <c r="AC70" s="97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  <c r="BA70" s="98"/>
      <c r="BB70" s="98"/>
      <c r="BC70" s="98"/>
      <c r="BD70" s="98"/>
      <c r="BE70" s="98"/>
      <c r="BF70" s="99"/>
      <c r="BG70" s="39"/>
    </row>
    <row r="71" spans="1:60" ht="14.25" customHeight="1" x14ac:dyDescent="0.25">
      <c r="A71" s="39"/>
      <c r="B71" s="39"/>
      <c r="C71" s="37"/>
      <c r="D71" s="37"/>
      <c r="E71" s="37"/>
      <c r="F71" s="37"/>
      <c r="G71" s="37"/>
      <c r="H71" s="11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11"/>
      <c r="X71" s="23"/>
      <c r="Y71" s="23"/>
      <c r="Z71" s="23"/>
      <c r="AA71" s="23"/>
      <c r="AB71" s="23"/>
      <c r="AC71" s="23"/>
      <c r="AD71" s="40"/>
      <c r="AE71" s="40"/>
      <c r="AF71" s="37"/>
      <c r="AG71" s="37"/>
      <c r="AH71" s="37"/>
      <c r="AI71" s="37"/>
      <c r="AJ71" s="37"/>
      <c r="AK71" s="37"/>
      <c r="AL71" s="25"/>
      <c r="AM71" s="25"/>
      <c r="AN71" s="25"/>
      <c r="AO71" s="25"/>
      <c r="AP71" s="11"/>
      <c r="AQ71" s="40"/>
      <c r="AR71" s="6"/>
      <c r="AS71" s="6"/>
      <c r="AT71" s="6"/>
      <c r="AU71" s="6"/>
      <c r="AV71" s="6"/>
      <c r="AW71" s="23"/>
      <c r="AX71" s="23"/>
      <c r="AY71" s="23"/>
      <c r="AZ71" s="23"/>
      <c r="BA71" s="11"/>
      <c r="BB71" s="23"/>
      <c r="BC71" s="23"/>
      <c r="BD71" s="23"/>
      <c r="BE71" s="23"/>
      <c r="BF71" s="23"/>
      <c r="BG71" s="39"/>
    </row>
    <row r="72" spans="1:60" ht="14.25" customHeight="1" x14ac:dyDescent="0.25">
      <c r="A72" s="39"/>
      <c r="B72" s="39"/>
      <c r="C72" s="160" t="s">
        <v>89</v>
      </c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160"/>
      <c r="AB72" s="175"/>
      <c r="AC72" s="94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95"/>
      <c r="BC72" s="95"/>
      <c r="BD72" s="95"/>
      <c r="BE72" s="95"/>
      <c r="BF72" s="96"/>
      <c r="BG72" s="39"/>
    </row>
    <row r="73" spans="1:60" ht="14.25" customHeight="1" x14ac:dyDescent="0.25">
      <c r="A73" s="39"/>
      <c r="B73" s="39"/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160"/>
      <c r="AB73" s="175"/>
      <c r="AC73" s="97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  <c r="BA73" s="98"/>
      <c r="BB73" s="98"/>
      <c r="BC73" s="98"/>
      <c r="BD73" s="98"/>
      <c r="BE73" s="98"/>
      <c r="BF73" s="99"/>
      <c r="BG73" s="39"/>
    </row>
    <row r="74" spans="1:60" ht="14.25" customHeight="1" x14ac:dyDescent="0.25">
      <c r="A74" s="39"/>
      <c r="B74" s="39"/>
      <c r="C74" s="37"/>
      <c r="D74" s="37"/>
      <c r="E74" s="37"/>
      <c r="F74" s="37"/>
      <c r="G74" s="37"/>
      <c r="H74" s="40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11"/>
      <c r="AC74" s="23"/>
      <c r="AD74" s="11"/>
      <c r="AE74" s="40"/>
      <c r="AF74" s="37"/>
      <c r="AG74" s="37"/>
      <c r="AH74" s="37"/>
      <c r="AI74" s="37"/>
      <c r="AJ74" s="37"/>
      <c r="AK74" s="37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39"/>
    </row>
    <row r="75" spans="1:60" ht="7.5" customHeight="1" x14ac:dyDescent="0.25">
      <c r="A75" s="39"/>
      <c r="B75" s="39"/>
      <c r="C75" s="37"/>
      <c r="D75" s="37"/>
      <c r="E75" s="37"/>
      <c r="F75" s="37"/>
      <c r="G75" s="37"/>
      <c r="H75" s="40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40"/>
      <c r="AE75" s="40"/>
      <c r="AF75" s="37"/>
      <c r="AG75" s="37"/>
      <c r="AH75" s="37"/>
      <c r="AI75" s="37"/>
      <c r="AJ75" s="37"/>
      <c r="AK75" s="37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39"/>
    </row>
    <row r="76" spans="1:60" ht="14.25" hidden="1" customHeight="1" x14ac:dyDescent="0.25">
      <c r="A76" s="39"/>
      <c r="B76" s="39"/>
      <c r="C76" s="210"/>
      <c r="D76" s="210"/>
      <c r="E76" s="210"/>
      <c r="F76" s="210"/>
      <c r="G76" s="210"/>
      <c r="H76" s="210"/>
      <c r="I76" s="210"/>
      <c r="J76" s="210"/>
      <c r="K76" s="210"/>
      <c r="L76" s="210"/>
      <c r="M76" s="210"/>
      <c r="N76" s="210"/>
      <c r="O76" s="210"/>
      <c r="P76" s="210"/>
      <c r="Q76" s="210"/>
      <c r="R76" s="210"/>
      <c r="S76" s="210"/>
      <c r="T76" s="210"/>
      <c r="U76" s="210"/>
      <c r="V76" s="210"/>
      <c r="W76" s="210"/>
      <c r="X76" s="210"/>
      <c r="Y76" s="210"/>
      <c r="Z76" s="210"/>
      <c r="AA76" s="210"/>
      <c r="AB76" s="210"/>
      <c r="AC76" s="210"/>
      <c r="AD76" s="210"/>
      <c r="AE76" s="210"/>
      <c r="AF76" s="210"/>
      <c r="AG76" s="210"/>
      <c r="AH76" s="210"/>
      <c r="AI76" s="210"/>
      <c r="AJ76" s="210"/>
      <c r="AK76" s="210"/>
      <c r="AL76" s="210"/>
      <c r="AM76" s="210"/>
      <c r="AN76" s="210"/>
      <c r="AO76" s="210"/>
      <c r="AP76" s="210"/>
      <c r="AQ76" s="210"/>
      <c r="AR76" s="210"/>
      <c r="AS76" s="210"/>
      <c r="AT76" s="210"/>
      <c r="AU76" s="210"/>
      <c r="AV76" s="210"/>
      <c r="AW76" s="210"/>
      <c r="AX76" s="210"/>
      <c r="AY76" s="210"/>
      <c r="AZ76" s="210"/>
      <c r="BA76" s="210"/>
      <c r="BB76" s="210"/>
      <c r="BC76" s="210"/>
      <c r="BD76" s="210"/>
      <c r="BE76" s="210"/>
      <c r="BF76" s="210"/>
      <c r="BG76" s="39"/>
    </row>
    <row r="77" spans="1:60" ht="14.25" customHeight="1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22"/>
      <c r="AP77" s="39"/>
      <c r="AQ77" s="39"/>
      <c r="AR77" s="39"/>
      <c r="AS77" s="39"/>
      <c r="AT77" s="39"/>
      <c r="AU77" s="39"/>
      <c r="AV77" s="39"/>
      <c r="AW77" s="45"/>
      <c r="AX77" s="12"/>
      <c r="AY77" s="39"/>
      <c r="AZ77" s="39"/>
      <c r="BA77" s="39"/>
      <c r="BB77" s="39"/>
      <c r="BC77" s="39"/>
      <c r="BD77" s="39"/>
      <c r="BE77" s="39"/>
      <c r="BF77" s="39"/>
      <c r="BG77" s="39"/>
      <c r="BH77" s="39"/>
    </row>
    <row r="78" spans="1:60" ht="14.25" customHeigh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22"/>
      <c r="AP78" s="39"/>
      <c r="AQ78" s="39"/>
      <c r="AR78" s="39"/>
      <c r="AS78" s="39"/>
      <c r="AT78" s="39"/>
      <c r="AU78" s="39"/>
      <c r="AV78" s="39"/>
      <c r="AW78" s="45"/>
      <c r="AX78" s="12"/>
      <c r="AY78" s="39"/>
      <c r="AZ78" s="39"/>
      <c r="BA78" s="39"/>
      <c r="BB78" s="39"/>
      <c r="BC78" s="39"/>
      <c r="BD78" s="39"/>
      <c r="BE78" s="39"/>
      <c r="BF78" s="39"/>
      <c r="BG78" s="39"/>
      <c r="BH78" s="39"/>
    </row>
    <row r="79" spans="1:60" ht="12" customHeight="1" x14ac:dyDescent="0.25">
      <c r="A79" s="39"/>
      <c r="B79" s="39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39"/>
      <c r="BH79" s="39"/>
    </row>
    <row r="80" spans="1:60" ht="3.75" hidden="1" customHeight="1" x14ac:dyDescent="0.25">
      <c r="A80" s="39"/>
      <c r="B80" s="39"/>
      <c r="C80" s="40"/>
      <c r="D80" s="40"/>
      <c r="E80" s="40"/>
      <c r="F80" s="40"/>
      <c r="G80" s="40"/>
      <c r="H80" s="40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40"/>
      <c r="AQ80" s="41"/>
      <c r="AR80" s="41"/>
      <c r="AS80" s="41"/>
      <c r="AT80" s="41"/>
      <c r="AU80" s="41"/>
      <c r="AV80" s="41"/>
      <c r="AW80" s="41"/>
      <c r="AX80" s="13"/>
      <c r="AY80" s="22"/>
      <c r="AZ80" s="22"/>
      <c r="BA80" s="22"/>
      <c r="BB80" s="22"/>
      <c r="BC80" s="22"/>
      <c r="BD80" s="22"/>
      <c r="BE80" s="22"/>
      <c r="BF80" s="22"/>
      <c r="BG80" s="39"/>
      <c r="BH80" s="39"/>
    </row>
    <row r="81" spans="1:132" ht="14.25" customHeight="1" x14ac:dyDescent="0.25">
      <c r="A81" s="39"/>
      <c r="B81" s="39"/>
      <c r="C81" s="143" t="s">
        <v>28</v>
      </c>
      <c r="D81" s="155"/>
      <c r="E81" s="155"/>
      <c r="F81" s="155"/>
      <c r="G81" s="155"/>
      <c r="H81" s="155"/>
      <c r="I81" s="144"/>
      <c r="J81" s="115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7"/>
      <c r="BG81" s="39"/>
      <c r="BH81" s="39"/>
    </row>
    <row r="82" spans="1:132" ht="14.25" customHeight="1" x14ac:dyDescent="0.25">
      <c r="A82" s="39"/>
      <c r="B82" s="39"/>
      <c r="C82" s="155"/>
      <c r="D82" s="155"/>
      <c r="E82" s="155"/>
      <c r="F82" s="155"/>
      <c r="G82" s="155"/>
      <c r="H82" s="155"/>
      <c r="I82" s="144"/>
      <c r="J82" s="118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  <c r="AA82" s="119"/>
      <c r="AB82" s="119"/>
      <c r="AC82" s="119"/>
      <c r="AD82" s="119"/>
      <c r="AE82" s="119"/>
      <c r="AF82" s="119"/>
      <c r="AG82" s="119"/>
      <c r="AH82" s="119"/>
      <c r="AI82" s="119"/>
      <c r="AJ82" s="119"/>
      <c r="AK82" s="119"/>
      <c r="AL82" s="119"/>
      <c r="AM82" s="119"/>
      <c r="AN82" s="119"/>
      <c r="AO82" s="119"/>
      <c r="AP82" s="119"/>
      <c r="AQ82" s="119"/>
      <c r="AR82" s="119"/>
      <c r="AS82" s="119"/>
      <c r="AT82" s="119"/>
      <c r="AU82" s="119"/>
      <c r="AV82" s="119"/>
      <c r="AW82" s="119"/>
      <c r="AX82" s="119"/>
      <c r="AY82" s="119"/>
      <c r="AZ82" s="119"/>
      <c r="BA82" s="119"/>
      <c r="BB82" s="119"/>
      <c r="BC82" s="119"/>
      <c r="BD82" s="119"/>
      <c r="BE82" s="119"/>
      <c r="BF82" s="120"/>
      <c r="BG82" s="39"/>
      <c r="BH82" s="39"/>
    </row>
    <row r="83" spans="1:132" ht="14.25" customHeight="1" x14ac:dyDescent="0.25">
      <c r="A83" s="39"/>
      <c r="B83" s="3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5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12"/>
      <c r="AF83" s="16"/>
      <c r="AG83" s="16"/>
      <c r="AH83" s="16"/>
      <c r="AI83" s="16"/>
      <c r="AJ83" s="16"/>
      <c r="AK83" s="16"/>
      <c r="AL83" s="16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39"/>
      <c r="BH83" s="39"/>
    </row>
    <row r="84" spans="1:132" ht="14.25" customHeight="1" x14ac:dyDescent="0.25">
      <c r="A84" s="39"/>
      <c r="B84" s="39"/>
      <c r="C84" s="160" t="s">
        <v>29</v>
      </c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80"/>
      <c r="O84" s="40"/>
      <c r="P84" s="94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95"/>
      <c r="BC84" s="95"/>
      <c r="BD84" s="95"/>
      <c r="BE84" s="95"/>
      <c r="BF84" s="96"/>
      <c r="BG84" s="39"/>
      <c r="BH84" s="39"/>
    </row>
    <row r="85" spans="1:132" ht="14.25" customHeight="1" x14ac:dyDescent="0.25">
      <c r="A85" s="39"/>
      <c r="B85" s="39"/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60"/>
      <c r="N85" s="180"/>
      <c r="O85" s="25"/>
      <c r="P85" s="97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  <c r="BA85" s="98"/>
      <c r="BB85" s="98"/>
      <c r="BC85" s="98"/>
      <c r="BD85" s="98"/>
      <c r="BE85" s="98"/>
      <c r="BF85" s="99"/>
      <c r="BG85" s="39"/>
      <c r="BH85" s="39"/>
    </row>
    <row r="86" spans="1:132" ht="14.25" customHeight="1" x14ac:dyDescent="0.25">
      <c r="A86" s="39"/>
      <c r="B86" s="39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16"/>
      <c r="AQ86" s="16"/>
      <c r="AR86" s="16"/>
      <c r="AS86" s="16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39"/>
      <c r="BH86" s="39"/>
    </row>
    <row r="87" spans="1:132" ht="14.25" customHeight="1" x14ac:dyDescent="0.25">
      <c r="A87" s="39"/>
      <c r="B87" s="39"/>
      <c r="C87" s="160" t="s">
        <v>30</v>
      </c>
      <c r="D87" s="160"/>
      <c r="E87" s="160"/>
      <c r="F87" s="160"/>
      <c r="G87" s="160"/>
      <c r="H87" s="175"/>
      <c r="I87" s="200"/>
      <c r="J87" s="200"/>
      <c r="K87" s="200"/>
      <c r="L87" s="200"/>
      <c r="M87" s="200"/>
      <c r="N87" s="200"/>
      <c r="O87" s="17"/>
      <c r="P87" s="94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5"/>
      <c r="AK87" s="95"/>
      <c r="AL87" s="95"/>
      <c r="AM87" s="95"/>
      <c r="AN87" s="95"/>
      <c r="AO87" s="95"/>
      <c r="AP87" s="95"/>
      <c r="AQ87" s="95"/>
      <c r="AR87" s="95"/>
      <c r="AS87" s="95"/>
      <c r="AT87" s="95"/>
      <c r="AU87" s="95"/>
      <c r="AV87" s="95"/>
      <c r="AW87" s="95"/>
      <c r="AX87" s="95"/>
      <c r="AY87" s="95"/>
      <c r="AZ87" s="95"/>
      <c r="BA87" s="95"/>
      <c r="BB87" s="95"/>
      <c r="BC87" s="95"/>
      <c r="BD87" s="95"/>
      <c r="BE87" s="95"/>
      <c r="BF87" s="96"/>
      <c r="BG87" s="39"/>
      <c r="BH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</row>
    <row r="88" spans="1:132" ht="14.25" customHeight="1" x14ac:dyDescent="0.25">
      <c r="A88" s="39"/>
      <c r="B88" s="39"/>
      <c r="C88" s="160"/>
      <c r="D88" s="160"/>
      <c r="E88" s="160"/>
      <c r="F88" s="160"/>
      <c r="G88" s="160"/>
      <c r="H88" s="175"/>
      <c r="I88" s="200"/>
      <c r="J88" s="200"/>
      <c r="K88" s="200"/>
      <c r="L88" s="200"/>
      <c r="M88" s="200"/>
      <c r="N88" s="200"/>
      <c r="O88" s="47"/>
      <c r="P88" s="97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  <c r="BA88" s="98"/>
      <c r="BB88" s="98"/>
      <c r="BC88" s="98"/>
      <c r="BD88" s="98"/>
      <c r="BE88" s="98"/>
      <c r="BF88" s="99"/>
      <c r="BG88" s="39"/>
      <c r="BH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</row>
    <row r="89" spans="1:132" ht="14.25" customHeight="1" x14ac:dyDescent="0.25">
      <c r="A89" s="39"/>
      <c r="B89" s="39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0"/>
      <c r="T89" s="210"/>
      <c r="U89" s="210"/>
      <c r="V89" s="210"/>
      <c r="W89" s="210"/>
      <c r="X89" s="210"/>
      <c r="Y89" s="210"/>
      <c r="Z89" s="210"/>
      <c r="AA89" s="210"/>
      <c r="AB89" s="210"/>
      <c r="AC89" s="210"/>
      <c r="AD89" s="210"/>
      <c r="AE89" s="210"/>
      <c r="AF89" s="210"/>
      <c r="AG89" s="210"/>
      <c r="AH89" s="210"/>
      <c r="AI89" s="210"/>
      <c r="AJ89" s="210"/>
      <c r="AK89" s="210"/>
      <c r="AL89" s="210"/>
      <c r="AM89" s="210"/>
      <c r="AN89" s="210"/>
      <c r="AO89" s="210"/>
      <c r="AP89" s="210"/>
      <c r="AQ89" s="210"/>
      <c r="AR89" s="210"/>
      <c r="AS89" s="210"/>
      <c r="AT89" s="210"/>
      <c r="AU89" s="210"/>
      <c r="AV89" s="210"/>
      <c r="AW89" s="210"/>
      <c r="AX89" s="210"/>
      <c r="AY89" s="210"/>
      <c r="AZ89" s="210"/>
      <c r="BA89" s="210"/>
      <c r="BB89" s="210"/>
      <c r="BC89" s="210"/>
      <c r="BD89" s="210"/>
      <c r="BE89" s="210"/>
      <c r="BF89" s="210"/>
      <c r="BG89" s="39"/>
      <c r="BH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</row>
    <row r="90" spans="1:132" ht="14.25" customHeight="1" x14ac:dyDescent="0.25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</row>
    <row r="91" spans="1:132" ht="14.25" customHeight="1" x14ac:dyDescent="0.2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</row>
    <row r="92" spans="1:132" ht="14.25" customHeight="1" x14ac:dyDescent="0.25">
      <c r="A92" s="75"/>
      <c r="B92" s="75"/>
      <c r="C92" s="75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</row>
    <row r="93" spans="1:132" ht="14.25" customHeight="1" x14ac:dyDescent="0.25">
      <c r="A93" s="75"/>
      <c r="B93" s="75"/>
      <c r="C93" s="130" t="s">
        <v>38</v>
      </c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76"/>
      <c r="O93" s="76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77"/>
      <c r="AX93" s="77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</row>
    <row r="94" spans="1:132" ht="14.25" customHeight="1" x14ac:dyDescent="0.25">
      <c r="A94" s="75"/>
      <c r="B94" s="75"/>
      <c r="C94" s="75"/>
      <c r="D94" s="78"/>
      <c r="E94" s="78"/>
      <c r="F94" s="78"/>
      <c r="G94" s="78"/>
      <c r="H94" s="78"/>
      <c r="I94" s="78"/>
      <c r="J94" s="78"/>
      <c r="K94" s="78"/>
      <c r="L94" s="76"/>
      <c r="M94" s="76"/>
      <c r="N94" s="76"/>
      <c r="O94" s="76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7"/>
      <c r="AF94" s="128" t="s">
        <v>355</v>
      </c>
      <c r="AG94" s="128"/>
      <c r="AH94" s="128"/>
      <c r="AI94" s="128"/>
      <c r="AJ94" s="128"/>
      <c r="AK94" s="128"/>
      <c r="AL94" s="128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</row>
    <row r="95" spans="1:132" ht="14.25" customHeight="1" x14ac:dyDescent="0.25">
      <c r="A95" s="75"/>
      <c r="B95" s="75"/>
      <c r="C95" s="142" t="s">
        <v>356</v>
      </c>
      <c r="D95" s="142"/>
      <c r="E95" s="142"/>
      <c r="F95" s="142"/>
      <c r="G95" s="142"/>
      <c r="H95" s="142"/>
      <c r="I95" s="142"/>
      <c r="J95" s="142"/>
      <c r="K95" s="142"/>
      <c r="L95" s="142"/>
      <c r="M95" s="75"/>
      <c r="N95" s="122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4"/>
      <c r="AD95" s="75"/>
      <c r="AE95" s="77"/>
      <c r="AF95" s="128"/>
      <c r="AG95" s="128"/>
      <c r="AH95" s="128"/>
      <c r="AI95" s="128"/>
      <c r="AJ95" s="128"/>
      <c r="AK95" s="128"/>
      <c r="AL95" s="128"/>
      <c r="AM95" s="115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7"/>
      <c r="BG95" s="75"/>
      <c r="BH95" s="75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</row>
    <row r="96" spans="1:132" ht="14.25" customHeight="1" x14ac:dyDescent="0.25">
      <c r="A96" s="75"/>
      <c r="B96" s="75"/>
      <c r="C96" s="142"/>
      <c r="D96" s="142"/>
      <c r="E96" s="142"/>
      <c r="F96" s="142"/>
      <c r="G96" s="142"/>
      <c r="H96" s="142"/>
      <c r="I96" s="142"/>
      <c r="J96" s="142"/>
      <c r="K96" s="142"/>
      <c r="L96" s="142"/>
      <c r="M96" s="75"/>
      <c r="N96" s="125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7"/>
      <c r="AD96" s="75"/>
      <c r="AE96" s="77"/>
      <c r="AF96" s="128"/>
      <c r="AG96" s="128"/>
      <c r="AH96" s="128"/>
      <c r="AI96" s="128"/>
      <c r="AJ96" s="128"/>
      <c r="AK96" s="128"/>
      <c r="AL96" s="128"/>
      <c r="AM96" s="118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20"/>
      <c r="BG96" s="75"/>
      <c r="BH96" s="75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</row>
    <row r="97" spans="1:132" ht="14.25" customHeight="1" x14ac:dyDescent="0.2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129" t="s">
        <v>357</v>
      </c>
      <c r="AQ97" s="129"/>
      <c r="AR97" s="129"/>
      <c r="AS97" s="129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</row>
    <row r="98" spans="1:132" ht="14.25" customHeight="1" x14ac:dyDescent="0.25">
      <c r="A98" s="75"/>
      <c r="B98" s="75"/>
      <c r="C98" s="114" t="s">
        <v>358</v>
      </c>
      <c r="D98" s="114"/>
      <c r="E98" s="114"/>
      <c r="F98" s="75"/>
      <c r="G98" s="75"/>
      <c r="H98" s="75"/>
      <c r="I98" s="115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7"/>
      <c r="AD98" s="75"/>
      <c r="AE98" s="75"/>
      <c r="AF98" s="75"/>
      <c r="AG98" s="75"/>
      <c r="AH98" s="114" t="s">
        <v>359</v>
      </c>
      <c r="AI98" s="114"/>
      <c r="AJ98" s="75"/>
      <c r="AK98" s="122"/>
      <c r="AL98" s="123"/>
      <c r="AM98" s="123"/>
      <c r="AN98" s="124"/>
      <c r="AO98" s="75"/>
      <c r="AP98" s="128"/>
      <c r="AQ98" s="128"/>
      <c r="AR98" s="128"/>
      <c r="AS98" s="128"/>
      <c r="AT98" s="122"/>
      <c r="AU98" s="123"/>
      <c r="AV98" s="123"/>
      <c r="AW98" s="124"/>
      <c r="AX98" s="78"/>
      <c r="AY98" s="114" t="s">
        <v>360</v>
      </c>
      <c r="AZ98" s="114"/>
      <c r="BA98" s="114"/>
      <c r="BB98" s="114"/>
      <c r="BC98" s="122"/>
      <c r="BD98" s="123"/>
      <c r="BE98" s="123"/>
      <c r="BF98" s="124"/>
      <c r="BG98" s="75"/>
      <c r="BH98" s="75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</row>
    <row r="99" spans="1:132" ht="14.25" customHeight="1" x14ac:dyDescent="0.25">
      <c r="A99" s="75"/>
      <c r="B99" s="75"/>
      <c r="C99" s="114"/>
      <c r="D99" s="114"/>
      <c r="E99" s="114"/>
      <c r="F99" s="75"/>
      <c r="G99" s="75"/>
      <c r="H99" s="75"/>
      <c r="I99" s="118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  <c r="AA99" s="119"/>
      <c r="AB99" s="119"/>
      <c r="AC99" s="120"/>
      <c r="AD99" s="75"/>
      <c r="AE99" s="75"/>
      <c r="AF99" s="75"/>
      <c r="AG99" s="75"/>
      <c r="AH99" s="114"/>
      <c r="AI99" s="114"/>
      <c r="AJ99" s="75"/>
      <c r="AK99" s="125"/>
      <c r="AL99" s="126"/>
      <c r="AM99" s="126"/>
      <c r="AN99" s="127"/>
      <c r="AO99" s="75"/>
      <c r="AP99" s="128"/>
      <c r="AQ99" s="128"/>
      <c r="AR99" s="128"/>
      <c r="AS99" s="128"/>
      <c r="AT99" s="125"/>
      <c r="AU99" s="126"/>
      <c r="AV99" s="126"/>
      <c r="AW99" s="127"/>
      <c r="AX99" s="78"/>
      <c r="AY99" s="114"/>
      <c r="AZ99" s="114"/>
      <c r="BA99" s="114"/>
      <c r="BB99" s="114"/>
      <c r="BC99" s="125"/>
      <c r="BD99" s="126"/>
      <c r="BE99" s="126"/>
      <c r="BF99" s="127"/>
      <c r="BG99" s="75"/>
      <c r="BH99" s="75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</row>
    <row r="100" spans="1:132" ht="14.25" customHeight="1" x14ac:dyDescent="0.25">
      <c r="A100" s="75"/>
      <c r="B100" s="75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75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5"/>
      <c r="AJ100" s="75"/>
      <c r="AK100" s="33"/>
      <c r="AL100" s="33"/>
      <c r="AM100" s="33"/>
      <c r="AN100" s="33"/>
      <c r="AO100" s="75"/>
      <c r="AP100" s="80"/>
      <c r="AQ100" s="80"/>
      <c r="AR100" s="80"/>
      <c r="AS100" s="80"/>
      <c r="AT100" s="33"/>
      <c r="AU100" s="33"/>
      <c r="AV100" s="33"/>
      <c r="AW100" s="33"/>
      <c r="AX100" s="78"/>
      <c r="AY100" s="75"/>
      <c r="AZ100" s="75"/>
      <c r="BA100" s="75"/>
      <c r="BB100" s="75"/>
      <c r="BC100" s="33"/>
      <c r="BD100" s="33"/>
      <c r="BE100" s="33"/>
      <c r="BF100" s="33"/>
      <c r="BG100" s="75"/>
      <c r="BH100" s="75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</row>
    <row r="101" spans="1:132" ht="14.25" customHeight="1" x14ac:dyDescent="0.25">
      <c r="A101" s="75"/>
      <c r="B101" s="75"/>
      <c r="C101" s="130" t="s">
        <v>361</v>
      </c>
      <c r="D101" s="130"/>
      <c r="E101" s="130"/>
      <c r="F101" s="130"/>
      <c r="G101" s="130"/>
      <c r="H101" s="130"/>
      <c r="I101" s="130"/>
      <c r="J101" s="130"/>
      <c r="K101" s="130"/>
      <c r="L101" s="130"/>
      <c r="M101" s="131"/>
      <c r="N101" s="81"/>
      <c r="O101" s="79"/>
      <c r="P101" s="82" t="s">
        <v>362</v>
      </c>
      <c r="Q101" s="79"/>
      <c r="R101" s="75"/>
      <c r="S101" s="75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5"/>
      <c r="AJ101" s="75"/>
      <c r="AK101" s="33"/>
      <c r="AL101" s="33"/>
      <c r="AM101" s="33"/>
      <c r="AN101" s="33"/>
      <c r="AO101" s="75"/>
      <c r="AP101" s="80"/>
      <c r="AQ101" s="80"/>
      <c r="AR101" s="80"/>
      <c r="AS101" s="80"/>
      <c r="AT101" s="33"/>
      <c r="AU101" s="33"/>
      <c r="AV101" s="33"/>
      <c r="AW101" s="33"/>
      <c r="AX101" s="78"/>
      <c r="AY101" s="75"/>
      <c r="AZ101" s="75"/>
      <c r="BA101" s="75"/>
      <c r="BB101" s="75"/>
      <c r="BC101" s="33"/>
      <c r="BD101" s="33"/>
      <c r="BE101" s="33"/>
      <c r="BF101" s="33"/>
      <c r="BG101" s="75"/>
      <c r="BH101" s="75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</row>
    <row r="102" spans="1:132" ht="14.25" customHeight="1" x14ac:dyDescent="0.25">
      <c r="A102" s="75"/>
      <c r="B102" s="75"/>
      <c r="C102" s="75"/>
      <c r="D102" s="78"/>
      <c r="E102" s="78"/>
      <c r="F102" s="78"/>
      <c r="G102" s="78"/>
      <c r="H102" s="78"/>
      <c r="I102" s="78"/>
      <c r="J102" s="78"/>
      <c r="K102" s="78"/>
      <c r="L102" s="76"/>
      <c r="M102" s="76"/>
      <c r="N102" s="76"/>
      <c r="O102" s="76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7"/>
      <c r="AF102" s="128" t="s">
        <v>355</v>
      </c>
      <c r="AG102" s="128"/>
      <c r="AH102" s="128"/>
      <c r="AI102" s="128"/>
      <c r="AJ102" s="128"/>
      <c r="AK102" s="128"/>
      <c r="AL102" s="128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</row>
    <row r="103" spans="1:132" ht="14.25" customHeight="1" x14ac:dyDescent="0.25">
      <c r="A103" s="75"/>
      <c r="B103" s="75"/>
      <c r="C103" s="132" t="s">
        <v>356</v>
      </c>
      <c r="D103" s="132"/>
      <c r="E103" s="132"/>
      <c r="F103" s="132"/>
      <c r="G103" s="132"/>
      <c r="H103" s="132"/>
      <c r="I103" s="132"/>
      <c r="J103" s="132"/>
      <c r="K103" s="132"/>
      <c r="L103" s="132"/>
      <c r="M103" s="75"/>
      <c r="N103" s="115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7"/>
      <c r="AD103" s="75"/>
      <c r="AE103" s="77"/>
      <c r="AF103" s="128"/>
      <c r="AG103" s="128"/>
      <c r="AH103" s="128"/>
      <c r="AI103" s="128"/>
      <c r="AJ103" s="128"/>
      <c r="AK103" s="128"/>
      <c r="AL103" s="128"/>
      <c r="AM103" s="115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7"/>
      <c r="BG103" s="75"/>
      <c r="BH103" s="75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</row>
    <row r="104" spans="1:132" ht="14.25" customHeight="1" x14ac:dyDescent="0.25">
      <c r="A104" s="75"/>
      <c r="B104" s="75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75"/>
      <c r="N104" s="118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  <c r="AA104" s="119"/>
      <c r="AB104" s="119"/>
      <c r="AC104" s="120"/>
      <c r="AD104" s="75"/>
      <c r="AE104" s="77"/>
      <c r="AF104" s="128"/>
      <c r="AG104" s="128"/>
      <c r="AH104" s="128"/>
      <c r="AI104" s="128"/>
      <c r="AJ104" s="128"/>
      <c r="AK104" s="128"/>
      <c r="AL104" s="128"/>
      <c r="AM104" s="118"/>
      <c r="AN104" s="119"/>
      <c r="AO104" s="119"/>
      <c r="AP104" s="119"/>
      <c r="AQ104" s="119"/>
      <c r="AR104" s="119"/>
      <c r="AS104" s="119"/>
      <c r="AT104" s="119"/>
      <c r="AU104" s="119"/>
      <c r="AV104" s="119"/>
      <c r="AW104" s="119"/>
      <c r="AX104" s="119"/>
      <c r="AY104" s="119"/>
      <c r="AZ104" s="119"/>
      <c r="BA104" s="119"/>
      <c r="BB104" s="119"/>
      <c r="BC104" s="119"/>
      <c r="BD104" s="119"/>
      <c r="BE104" s="119"/>
      <c r="BF104" s="120"/>
      <c r="BG104" s="75"/>
      <c r="BH104" s="75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</row>
    <row r="105" spans="1:132" ht="14.25" customHeight="1" x14ac:dyDescent="0.25">
      <c r="A105" s="75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129" t="s">
        <v>357</v>
      </c>
      <c r="AQ105" s="129"/>
      <c r="AR105" s="129"/>
      <c r="AS105" s="129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</row>
    <row r="106" spans="1:132" ht="14.25" customHeight="1" x14ac:dyDescent="0.25">
      <c r="A106" s="75"/>
      <c r="B106" s="75"/>
      <c r="C106" s="114" t="s">
        <v>358</v>
      </c>
      <c r="D106" s="114"/>
      <c r="E106" s="114"/>
      <c r="F106" s="75"/>
      <c r="G106" s="75"/>
      <c r="H106" s="75"/>
      <c r="I106" s="115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7"/>
      <c r="AD106" s="75"/>
      <c r="AE106" s="75"/>
      <c r="AF106" s="75"/>
      <c r="AG106" s="75"/>
      <c r="AH106" s="114" t="s">
        <v>359</v>
      </c>
      <c r="AI106" s="114"/>
      <c r="AJ106" s="75"/>
      <c r="AK106" s="122"/>
      <c r="AL106" s="123"/>
      <c r="AM106" s="123"/>
      <c r="AN106" s="124"/>
      <c r="AO106" s="75"/>
      <c r="AP106" s="128"/>
      <c r="AQ106" s="128"/>
      <c r="AR106" s="128"/>
      <c r="AS106" s="128"/>
      <c r="AT106" s="122"/>
      <c r="AU106" s="123"/>
      <c r="AV106" s="123"/>
      <c r="AW106" s="124"/>
      <c r="AX106" s="78"/>
      <c r="AY106" s="114" t="s">
        <v>360</v>
      </c>
      <c r="AZ106" s="114"/>
      <c r="BA106" s="114"/>
      <c r="BB106" s="114"/>
      <c r="BC106" s="122"/>
      <c r="BD106" s="123"/>
      <c r="BE106" s="123"/>
      <c r="BF106" s="124"/>
      <c r="BG106" s="75"/>
      <c r="BH106" s="75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</row>
    <row r="107" spans="1:132" ht="14.25" customHeight="1" x14ac:dyDescent="0.25">
      <c r="A107" s="75"/>
      <c r="B107" s="75"/>
      <c r="C107" s="114"/>
      <c r="D107" s="114"/>
      <c r="E107" s="114"/>
      <c r="F107" s="75"/>
      <c r="G107" s="75"/>
      <c r="H107" s="75"/>
      <c r="I107" s="118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  <c r="AA107" s="119"/>
      <c r="AB107" s="119"/>
      <c r="AC107" s="120"/>
      <c r="AD107" s="75"/>
      <c r="AE107" s="75"/>
      <c r="AF107" s="75"/>
      <c r="AG107" s="75"/>
      <c r="AH107" s="114"/>
      <c r="AI107" s="114"/>
      <c r="AJ107" s="75"/>
      <c r="AK107" s="125"/>
      <c r="AL107" s="126"/>
      <c r="AM107" s="126"/>
      <c r="AN107" s="127"/>
      <c r="AO107" s="75"/>
      <c r="AP107" s="128"/>
      <c r="AQ107" s="128"/>
      <c r="AR107" s="128"/>
      <c r="AS107" s="128"/>
      <c r="AT107" s="125"/>
      <c r="AU107" s="126"/>
      <c r="AV107" s="126"/>
      <c r="AW107" s="127"/>
      <c r="AX107" s="78"/>
      <c r="AY107" s="114"/>
      <c r="AZ107" s="114"/>
      <c r="BA107" s="114"/>
      <c r="BB107" s="114"/>
      <c r="BC107" s="125"/>
      <c r="BD107" s="126"/>
      <c r="BE107" s="126"/>
      <c r="BF107" s="127"/>
      <c r="BG107" s="75"/>
      <c r="BH107" s="75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</row>
    <row r="108" spans="1:132" ht="14.25" customHeight="1" x14ac:dyDescent="0.25">
      <c r="A108" s="75"/>
      <c r="B108" s="75"/>
      <c r="C108" s="75"/>
      <c r="D108" s="75"/>
      <c r="E108" s="75"/>
      <c r="F108" s="75"/>
      <c r="G108" s="75"/>
      <c r="H108" s="75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33"/>
      <c r="AL108" s="33"/>
      <c r="AM108" s="33"/>
      <c r="AN108" s="33"/>
      <c r="AO108" s="75"/>
      <c r="AP108" s="80"/>
      <c r="AQ108" s="80"/>
      <c r="AR108" s="80"/>
      <c r="AS108" s="80"/>
      <c r="AT108" s="33"/>
      <c r="AU108" s="33"/>
      <c r="AV108" s="33"/>
      <c r="AW108" s="33"/>
      <c r="AX108" s="78"/>
      <c r="AY108" s="75"/>
      <c r="AZ108" s="75"/>
      <c r="BA108" s="75"/>
      <c r="BB108" s="75"/>
      <c r="BC108" s="33"/>
      <c r="BD108" s="33"/>
      <c r="BE108" s="33"/>
      <c r="BF108" s="33"/>
      <c r="BG108" s="75"/>
      <c r="BH108" s="75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</row>
    <row r="109" spans="1:132" ht="14.25" customHeight="1" x14ac:dyDescent="0.25">
      <c r="A109" s="75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</row>
    <row r="110" spans="1:132" ht="14.25" customHeight="1" x14ac:dyDescent="0.25">
      <c r="A110" s="75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</row>
    <row r="111" spans="1:132" ht="14.25" customHeight="1" x14ac:dyDescent="0.25">
      <c r="A111" s="75"/>
      <c r="B111" s="75"/>
      <c r="C111" s="128" t="s">
        <v>363</v>
      </c>
      <c r="D111" s="128"/>
      <c r="E111" s="128"/>
      <c r="F111" s="128"/>
      <c r="G111" s="128"/>
      <c r="H111" s="128"/>
      <c r="I111" s="128"/>
      <c r="J111" s="128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128" t="s">
        <v>364</v>
      </c>
      <c r="AE111" s="128"/>
      <c r="AF111" s="128"/>
      <c r="AG111" s="128"/>
      <c r="AH111" s="128"/>
      <c r="AI111" s="128"/>
      <c r="AJ111" s="128"/>
      <c r="AK111" s="128"/>
      <c r="AL111" s="128"/>
      <c r="AM111" s="20"/>
      <c r="AN111" s="20"/>
      <c r="AO111" s="75"/>
      <c r="AP111" s="78"/>
      <c r="AQ111" s="78"/>
      <c r="AR111" s="78"/>
      <c r="AS111" s="78"/>
      <c r="AT111" s="20"/>
      <c r="AU111" s="20"/>
      <c r="AV111" s="20"/>
      <c r="AW111" s="20"/>
      <c r="AX111" s="78"/>
      <c r="AY111" s="75"/>
      <c r="AZ111" s="75"/>
      <c r="BA111" s="75"/>
      <c r="BB111" s="75"/>
      <c r="BC111" s="20"/>
      <c r="BD111" s="20"/>
      <c r="BE111" s="20"/>
      <c r="BF111" s="20"/>
      <c r="BG111" s="75"/>
      <c r="BH111" s="75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</row>
    <row r="112" spans="1:132" ht="14.25" customHeight="1" x14ac:dyDescent="0.25">
      <c r="A112" s="75"/>
      <c r="B112" s="75"/>
      <c r="C112" s="128"/>
      <c r="D112" s="128"/>
      <c r="E112" s="128"/>
      <c r="F112" s="128"/>
      <c r="G112" s="128"/>
      <c r="H112" s="128"/>
      <c r="I112" s="128"/>
      <c r="J112" s="128"/>
      <c r="K112" s="20"/>
      <c r="L112" s="75"/>
      <c r="M112" s="108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10"/>
      <c r="AC112" s="83"/>
      <c r="AD112" s="128"/>
      <c r="AE112" s="128"/>
      <c r="AF112" s="128"/>
      <c r="AG112" s="128"/>
      <c r="AH112" s="128"/>
      <c r="AI112" s="128"/>
      <c r="AJ112" s="128"/>
      <c r="AK112" s="128"/>
      <c r="AL112" s="128"/>
      <c r="AM112" s="108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10"/>
      <c r="BG112" s="75"/>
      <c r="BH112" s="75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</row>
    <row r="113" spans="1:132" ht="14.25" customHeight="1" x14ac:dyDescent="0.25">
      <c r="A113" s="75"/>
      <c r="B113" s="75"/>
      <c r="C113" s="128"/>
      <c r="D113" s="128"/>
      <c r="E113" s="128"/>
      <c r="F113" s="128"/>
      <c r="G113" s="128"/>
      <c r="H113" s="128"/>
      <c r="I113" s="128"/>
      <c r="J113" s="128"/>
      <c r="K113" s="20"/>
      <c r="L113" s="75"/>
      <c r="M113" s="111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3"/>
      <c r="AC113" s="7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11"/>
      <c r="AN113" s="112"/>
      <c r="AO113" s="112"/>
      <c r="AP113" s="112"/>
      <c r="AQ113" s="112"/>
      <c r="AR113" s="112"/>
      <c r="AS113" s="112"/>
      <c r="AT113" s="112"/>
      <c r="AU113" s="112"/>
      <c r="AV113" s="112"/>
      <c r="AW113" s="112"/>
      <c r="AX113" s="112"/>
      <c r="AY113" s="112"/>
      <c r="AZ113" s="112"/>
      <c r="BA113" s="112"/>
      <c r="BB113" s="112"/>
      <c r="BC113" s="112"/>
      <c r="BD113" s="112"/>
      <c r="BE113" s="112"/>
      <c r="BF113" s="113"/>
      <c r="BG113" s="75"/>
      <c r="BH113" s="75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</row>
    <row r="114" spans="1:132" ht="14.25" customHeight="1" x14ac:dyDescent="0.2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20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20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</row>
    <row r="115" spans="1:132" ht="14.25" customHeight="1" x14ac:dyDescent="0.25">
      <c r="A115" s="75"/>
      <c r="B115" s="75"/>
      <c r="C115" s="107" t="s">
        <v>365</v>
      </c>
      <c r="D115" s="107"/>
      <c r="E115" s="107"/>
      <c r="F115" s="107"/>
      <c r="G115" s="107"/>
      <c r="H115" s="107"/>
      <c r="I115" s="107"/>
      <c r="J115" s="78"/>
      <c r="K115" s="20"/>
      <c r="L115" s="75"/>
      <c r="M115" s="108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10"/>
      <c r="AC115" s="75"/>
      <c r="AD115" s="114" t="s">
        <v>366</v>
      </c>
      <c r="AE115" s="114"/>
      <c r="AF115" s="114"/>
      <c r="AG115" s="75"/>
      <c r="AH115" s="75"/>
      <c r="AI115" s="75"/>
      <c r="AJ115" s="75"/>
      <c r="AK115" s="75"/>
      <c r="AL115" s="75"/>
      <c r="AM115" s="115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7"/>
      <c r="BG115" s="75"/>
      <c r="BH115" s="75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</row>
    <row r="116" spans="1:132" ht="14.25" customHeight="1" x14ac:dyDescent="0.25">
      <c r="A116" s="75"/>
      <c r="B116" s="75"/>
      <c r="C116" s="107"/>
      <c r="D116" s="107"/>
      <c r="E116" s="107"/>
      <c r="F116" s="107"/>
      <c r="G116" s="107"/>
      <c r="H116" s="107"/>
      <c r="I116" s="107"/>
      <c r="J116" s="78"/>
      <c r="K116" s="20"/>
      <c r="L116" s="75"/>
      <c r="M116" s="111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3"/>
      <c r="AC116" s="75"/>
      <c r="AD116" s="114"/>
      <c r="AE116" s="114"/>
      <c r="AF116" s="114"/>
      <c r="AG116" s="75"/>
      <c r="AH116" s="75"/>
      <c r="AI116" s="75"/>
      <c r="AJ116" s="75"/>
      <c r="AK116" s="75"/>
      <c r="AL116" s="75"/>
      <c r="AM116" s="118"/>
      <c r="AN116" s="119"/>
      <c r="AO116" s="119"/>
      <c r="AP116" s="119"/>
      <c r="AQ116" s="119"/>
      <c r="AR116" s="119"/>
      <c r="AS116" s="119"/>
      <c r="AT116" s="119"/>
      <c r="AU116" s="119"/>
      <c r="AV116" s="119"/>
      <c r="AW116" s="119"/>
      <c r="AX116" s="119"/>
      <c r="AY116" s="119"/>
      <c r="AZ116" s="119"/>
      <c r="BA116" s="119"/>
      <c r="BB116" s="119"/>
      <c r="BC116" s="119"/>
      <c r="BD116" s="119"/>
      <c r="BE116" s="119"/>
      <c r="BF116" s="120"/>
      <c r="BG116" s="75"/>
      <c r="BH116" s="75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</row>
    <row r="117" spans="1:132" ht="14.25" customHeight="1" x14ac:dyDescent="0.25">
      <c r="A117" s="75"/>
      <c r="B117" s="75"/>
      <c r="C117" s="78"/>
      <c r="D117" s="78"/>
      <c r="E117" s="78"/>
      <c r="F117" s="78"/>
      <c r="G117" s="78"/>
      <c r="H117" s="78"/>
      <c r="I117" s="78"/>
      <c r="J117" s="78"/>
      <c r="K117" s="20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75"/>
      <c r="BH117" s="75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</row>
    <row r="118" spans="1:132" ht="14.25" customHeight="1" x14ac:dyDescent="0.25">
      <c r="A118" s="75"/>
      <c r="B118" s="75"/>
      <c r="C118" s="75"/>
      <c r="D118" s="75"/>
      <c r="E118" s="75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75"/>
      <c r="Y118" s="75"/>
      <c r="Z118" s="75"/>
      <c r="AA118" s="75"/>
      <c r="AB118" s="75"/>
      <c r="AC118" s="75"/>
      <c r="AD118" s="75"/>
      <c r="AE118" s="75"/>
      <c r="AF118" s="75"/>
      <c r="AG118" s="77"/>
      <c r="AH118" s="75"/>
      <c r="AI118" s="75"/>
      <c r="AJ118" s="20"/>
      <c r="AK118" s="20"/>
      <c r="AL118" s="20"/>
      <c r="AM118" s="20"/>
      <c r="AN118" s="75"/>
      <c r="AO118" s="78"/>
      <c r="AP118" s="78"/>
      <c r="AQ118" s="78"/>
      <c r="AR118" s="78"/>
      <c r="AS118" s="20"/>
      <c r="AT118" s="20"/>
      <c r="AU118" s="20"/>
      <c r="AV118" s="20"/>
      <c r="AW118" s="78"/>
      <c r="AX118" s="75"/>
      <c r="AY118" s="75"/>
      <c r="AZ118" s="75"/>
      <c r="BA118" s="75"/>
      <c r="BB118" s="20"/>
      <c r="BC118" s="20"/>
      <c r="BD118" s="20"/>
      <c r="BE118" s="20"/>
      <c r="BF118" s="75"/>
      <c r="BG118" s="75"/>
      <c r="BR118" s="73"/>
      <c r="BS118" s="73"/>
      <c r="BT118" s="75"/>
      <c r="EB118" s="73"/>
    </row>
    <row r="119" spans="1:132" ht="14.25" customHeight="1" x14ac:dyDescent="0.25">
      <c r="A119" s="75"/>
      <c r="B119" s="75"/>
      <c r="C119" s="75"/>
      <c r="D119" s="75"/>
      <c r="E119" s="75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75"/>
      <c r="Y119" s="75"/>
      <c r="Z119" s="75"/>
      <c r="AA119" s="75"/>
      <c r="AB119" s="75"/>
      <c r="AC119" s="75"/>
      <c r="AD119" s="75"/>
      <c r="AE119" s="75"/>
      <c r="AF119" s="75"/>
      <c r="AG119" s="77"/>
      <c r="AH119" s="75"/>
      <c r="AI119" s="75"/>
      <c r="AJ119" s="20"/>
      <c r="AK119" s="20"/>
      <c r="AL119" s="20"/>
      <c r="AM119" s="20"/>
      <c r="AN119" s="75"/>
      <c r="AO119" s="78"/>
      <c r="AP119" s="78"/>
      <c r="AQ119" s="78"/>
      <c r="AR119" s="78"/>
      <c r="AS119" s="20"/>
      <c r="AT119" s="20"/>
      <c r="AU119" s="20"/>
      <c r="AV119" s="20"/>
      <c r="AW119" s="78"/>
      <c r="AX119" s="75"/>
      <c r="AY119" s="75"/>
      <c r="AZ119" s="75"/>
      <c r="BA119" s="75"/>
      <c r="BB119" s="20"/>
      <c r="BC119" s="20"/>
      <c r="BD119" s="20"/>
      <c r="BE119" s="20"/>
      <c r="BF119" s="75"/>
      <c r="BG119" s="75"/>
      <c r="BR119" s="73"/>
      <c r="BS119" s="73"/>
      <c r="BT119" s="75"/>
      <c r="EB119" s="73"/>
    </row>
    <row r="120" spans="1:132" ht="14.25" customHeight="1" x14ac:dyDescent="0.25">
      <c r="A120" s="73"/>
      <c r="B120" s="11"/>
      <c r="C120" s="121" t="s">
        <v>368</v>
      </c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73"/>
      <c r="BR120" s="73"/>
      <c r="BS120" s="73"/>
      <c r="BT120" s="75"/>
      <c r="EB120" s="73"/>
    </row>
    <row r="121" spans="1:132" ht="14.25" customHeight="1" x14ac:dyDescent="0.25">
      <c r="A121" s="73"/>
      <c r="B121" s="74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73"/>
      <c r="BR121" s="73"/>
      <c r="BS121" s="73"/>
      <c r="BT121" s="75"/>
      <c r="EB121" s="73"/>
    </row>
    <row r="122" spans="1:132" ht="14.25" customHeight="1" x14ac:dyDescent="0.25">
      <c r="A122" s="73"/>
      <c r="B122" s="74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73"/>
      <c r="BR122" s="73"/>
      <c r="BS122" s="73"/>
      <c r="BT122" s="75"/>
      <c r="EB122" s="73"/>
    </row>
    <row r="123" spans="1:132" ht="14.25" customHeight="1" x14ac:dyDescent="0.25">
      <c r="A123" s="73"/>
      <c r="B123" s="74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73"/>
      <c r="BR123" s="73"/>
      <c r="BS123" s="73"/>
      <c r="BT123" s="75"/>
      <c r="EB123" s="73"/>
    </row>
    <row r="124" spans="1:132" ht="14.25" customHeight="1" x14ac:dyDescent="0.25">
      <c r="A124" s="73"/>
      <c r="B124" s="74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73"/>
      <c r="BR124" s="73"/>
      <c r="BS124" s="73"/>
      <c r="BT124" s="75"/>
      <c r="EB124" s="73"/>
    </row>
    <row r="125" spans="1:132" ht="14.25" customHeight="1" x14ac:dyDescent="0.25">
      <c r="A125" s="73"/>
      <c r="B125" s="74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73"/>
      <c r="BR125" s="73"/>
      <c r="BS125" s="73"/>
      <c r="BT125" s="75"/>
      <c r="EB125" s="73"/>
    </row>
    <row r="126" spans="1:132" ht="14.25" customHeight="1" x14ac:dyDescent="0.25">
      <c r="A126" s="73"/>
      <c r="B126" s="74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73"/>
      <c r="BR126" s="73"/>
      <c r="BS126" s="73"/>
      <c r="BT126" s="75"/>
      <c r="EB126" s="73"/>
    </row>
    <row r="127" spans="1:132" ht="14.25" customHeight="1" x14ac:dyDescent="0.25">
      <c r="A127" s="73"/>
      <c r="B127" s="74"/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73"/>
      <c r="BR127" s="73"/>
      <c r="BS127" s="73"/>
      <c r="BT127" s="75"/>
      <c r="EB127" s="73"/>
    </row>
    <row r="128" spans="1:132" ht="14.25" customHeight="1" x14ac:dyDescent="0.25">
      <c r="A128" s="73"/>
      <c r="B128" s="74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73"/>
      <c r="BR128" s="73"/>
      <c r="BS128" s="73"/>
      <c r="BT128" s="75"/>
      <c r="EB128" s="73"/>
    </row>
    <row r="129" spans="1:132" ht="14.25" customHeight="1" x14ac:dyDescent="0.25">
      <c r="A129" s="73"/>
      <c r="B129" s="74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73"/>
      <c r="BR129" s="73"/>
      <c r="BS129" s="73"/>
      <c r="BT129" s="75"/>
      <c r="EB129" s="73"/>
    </row>
    <row r="130" spans="1:132" ht="14.25" customHeight="1" x14ac:dyDescent="0.25">
      <c r="A130" s="73"/>
      <c r="B130" s="74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73"/>
      <c r="BR130" s="73"/>
      <c r="BS130" s="73"/>
      <c r="BT130" s="75"/>
      <c r="EB130" s="73"/>
    </row>
    <row r="131" spans="1:132" ht="14.25" customHeight="1" x14ac:dyDescent="0.25">
      <c r="A131" s="73"/>
      <c r="B131" s="74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73"/>
      <c r="BR131" s="73"/>
      <c r="BS131" s="73"/>
      <c r="BT131" s="75"/>
      <c r="EB131" s="73"/>
    </row>
    <row r="132" spans="1:132" ht="14.25" customHeight="1" x14ac:dyDescent="0.25">
      <c r="A132" s="73"/>
      <c r="B132" s="74"/>
      <c r="C132" s="121"/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73"/>
      <c r="BR132" s="73"/>
      <c r="BS132" s="73"/>
      <c r="BT132" s="75"/>
      <c r="EB132" s="73"/>
    </row>
    <row r="133" spans="1:132" ht="14.25" customHeight="1" x14ac:dyDescent="0.25">
      <c r="A133" s="73"/>
      <c r="B133" s="74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73"/>
      <c r="BR133" s="73"/>
      <c r="BS133" s="73"/>
      <c r="BT133" s="75"/>
      <c r="EB133" s="73"/>
    </row>
    <row r="134" spans="1:132" ht="14.25" customHeight="1" x14ac:dyDescent="0.25">
      <c r="A134" s="73"/>
      <c r="B134" s="74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73"/>
      <c r="BR134" s="73"/>
      <c r="BS134" s="73"/>
      <c r="BT134" s="75"/>
      <c r="EB134" s="73"/>
    </row>
    <row r="135" spans="1:132" ht="14.25" customHeight="1" x14ac:dyDescent="0.25">
      <c r="A135" s="73"/>
      <c r="B135" s="74"/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73"/>
      <c r="BR135" s="73"/>
      <c r="BS135" s="73"/>
      <c r="BT135" s="75"/>
      <c r="EB135" s="73"/>
    </row>
    <row r="136" spans="1:132" ht="14.25" customHeight="1" x14ac:dyDescent="0.25">
      <c r="A136" s="73"/>
      <c r="B136" s="74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73"/>
      <c r="BR136" s="73"/>
      <c r="BS136" s="73"/>
      <c r="BT136" s="75"/>
      <c r="EB136" s="73"/>
    </row>
    <row r="137" spans="1:132" ht="14.25" customHeight="1" x14ac:dyDescent="0.25">
      <c r="A137" s="73"/>
      <c r="B137" s="74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73"/>
      <c r="BR137" s="73"/>
      <c r="BS137" s="73"/>
      <c r="BT137" s="75"/>
      <c r="EB137" s="73"/>
    </row>
    <row r="138" spans="1:132" ht="14.25" customHeight="1" x14ac:dyDescent="0.25">
      <c r="A138" s="85"/>
      <c r="B138" s="87"/>
      <c r="C138" s="121"/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85"/>
      <c r="BR138" s="85"/>
      <c r="BS138" s="85"/>
      <c r="BT138" s="86"/>
      <c r="EB138" s="85"/>
    </row>
    <row r="139" spans="1:132" ht="14.25" customHeight="1" x14ac:dyDescent="0.25">
      <c r="A139" s="73"/>
      <c r="B139" s="74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73"/>
      <c r="BR139" s="73"/>
      <c r="BS139" s="73"/>
      <c r="BT139" s="75"/>
      <c r="EB139" s="73"/>
    </row>
    <row r="140" spans="1:132" ht="14.25" customHeight="1" x14ac:dyDescent="0.25">
      <c r="A140" s="73"/>
      <c r="B140" s="74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73"/>
      <c r="BR140" s="73"/>
      <c r="BS140" s="73"/>
      <c r="BT140" s="75"/>
      <c r="EB140" s="73"/>
    </row>
    <row r="141" spans="1:132" ht="14.25" customHeight="1" x14ac:dyDescent="0.25">
      <c r="A141" s="73"/>
      <c r="B141" s="74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73"/>
      <c r="BR141" s="73"/>
      <c r="BS141" s="73"/>
      <c r="BT141" s="75"/>
      <c r="EB141" s="73"/>
    </row>
    <row r="142" spans="1:132" ht="14.25" customHeight="1" x14ac:dyDescent="0.25">
      <c r="A142" s="73"/>
      <c r="B142" s="74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73"/>
      <c r="BR142" s="73"/>
      <c r="BS142" s="73"/>
      <c r="BT142" s="75"/>
      <c r="EB142" s="73"/>
    </row>
    <row r="143" spans="1:132" ht="14.25" customHeight="1" x14ac:dyDescent="0.25">
      <c r="A143" s="73"/>
      <c r="B143" s="74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73"/>
      <c r="BR143" s="73"/>
      <c r="BS143" s="73"/>
      <c r="BT143" s="75"/>
      <c r="EB143" s="73"/>
    </row>
    <row r="144" spans="1:132" ht="14.25" customHeight="1" x14ac:dyDescent="0.25">
      <c r="A144" s="73"/>
      <c r="B144" s="74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73"/>
      <c r="BR144" s="73"/>
      <c r="BS144" s="73"/>
      <c r="BT144" s="73"/>
      <c r="EB144" s="73"/>
    </row>
    <row r="145" spans="1:132" ht="14.25" customHeight="1" x14ac:dyDescent="0.25">
      <c r="A145" s="73"/>
      <c r="B145" s="74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73"/>
      <c r="BR145" s="73"/>
      <c r="BS145" s="73"/>
      <c r="BT145" s="73"/>
      <c r="EB145" s="73"/>
    </row>
    <row r="146" spans="1:132" ht="14.25" customHeight="1" x14ac:dyDescent="0.25">
      <c r="A146" s="73"/>
      <c r="B146" s="74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73"/>
      <c r="BR146" s="73"/>
      <c r="BS146" s="73"/>
      <c r="BT146" s="73"/>
      <c r="EB146" s="73"/>
    </row>
    <row r="147" spans="1:132" ht="14.25" customHeight="1" x14ac:dyDescent="0.25">
      <c r="A147" s="73"/>
      <c r="B147" s="74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73"/>
      <c r="BR147" s="73"/>
      <c r="BS147" s="73"/>
      <c r="BT147" s="73"/>
      <c r="EB147" s="73"/>
    </row>
    <row r="148" spans="1:132" ht="14.25" customHeight="1" x14ac:dyDescent="0.25">
      <c r="A148" s="73"/>
      <c r="B148" s="74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73"/>
      <c r="BR148" s="73"/>
      <c r="BS148" s="73"/>
      <c r="BT148" s="73"/>
      <c r="EB148" s="73"/>
    </row>
    <row r="149" spans="1:132" ht="14.25" customHeight="1" x14ac:dyDescent="0.25">
      <c r="A149" s="73"/>
      <c r="B149" s="74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73"/>
      <c r="BR149" s="73"/>
      <c r="BS149" s="73"/>
      <c r="BT149" s="73"/>
      <c r="EB149" s="73"/>
    </row>
    <row r="150" spans="1:132" ht="139.5" customHeight="1" x14ac:dyDescent="0.25">
      <c r="A150" s="73"/>
      <c r="B150" s="73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73"/>
      <c r="BR150" s="73"/>
      <c r="BS150" s="73"/>
      <c r="BT150" s="73"/>
      <c r="EB150" s="73"/>
    </row>
    <row r="151" spans="1:132" ht="14.25" customHeight="1" x14ac:dyDescent="0.25">
      <c r="A151" s="73"/>
      <c r="B151" s="73"/>
      <c r="C151" s="94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6"/>
      <c r="T151" s="20"/>
      <c r="U151" s="20"/>
      <c r="V151" s="100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101"/>
      <c r="AI151" s="101"/>
      <c r="AJ151" s="101"/>
      <c r="AK151" s="101"/>
      <c r="AL151" s="101"/>
      <c r="AM151" s="102"/>
      <c r="AN151" s="19"/>
      <c r="AO151" s="20"/>
      <c r="AP151" s="100"/>
      <c r="AQ151" s="101"/>
      <c r="AR151" s="101"/>
      <c r="AS151" s="101"/>
      <c r="AT151" s="101"/>
      <c r="AU151" s="101"/>
      <c r="AV151" s="101"/>
      <c r="AW151" s="101"/>
      <c r="AX151" s="101"/>
      <c r="AY151" s="101"/>
      <c r="AZ151" s="101"/>
      <c r="BA151" s="101"/>
      <c r="BB151" s="101"/>
      <c r="BC151" s="101"/>
      <c r="BD151" s="101"/>
      <c r="BE151" s="101"/>
      <c r="BF151" s="102"/>
      <c r="BG151" s="73"/>
      <c r="BR151" s="73"/>
      <c r="BS151" s="73"/>
      <c r="BT151" s="73"/>
      <c r="EB151" s="73"/>
    </row>
    <row r="152" spans="1:132" ht="14.25" customHeight="1" x14ac:dyDescent="0.25">
      <c r="A152" s="73"/>
      <c r="B152" s="73"/>
      <c r="C152" s="97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9"/>
      <c r="T152" s="73"/>
      <c r="U152" s="73"/>
      <c r="V152" s="103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5"/>
      <c r="AN152" s="73"/>
      <c r="AO152" s="73"/>
      <c r="AP152" s="103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5"/>
      <c r="BG152" s="73"/>
      <c r="BR152" s="73"/>
      <c r="BS152" s="73"/>
      <c r="BT152" s="73"/>
      <c r="EB152" s="73"/>
    </row>
    <row r="153" spans="1:132" ht="14.25" customHeight="1" x14ac:dyDescent="0.25">
      <c r="A153" s="73"/>
      <c r="B153" s="73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73"/>
      <c r="U153" s="73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73"/>
      <c r="AO153" s="73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73"/>
      <c r="BR153" s="73"/>
      <c r="BS153" s="73"/>
      <c r="BT153" s="73"/>
      <c r="EB153" s="73"/>
    </row>
    <row r="154" spans="1:132" ht="14.25" customHeight="1" x14ac:dyDescent="0.25">
      <c r="A154" s="73"/>
      <c r="B154" s="73"/>
      <c r="C154" s="106" t="s">
        <v>35</v>
      </c>
      <c r="D154" s="106"/>
      <c r="E154" s="106"/>
      <c r="F154" s="106"/>
      <c r="G154" s="106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6"/>
      <c r="T154" s="28"/>
      <c r="U154" s="28"/>
      <c r="V154" s="106" t="s">
        <v>36</v>
      </c>
      <c r="W154" s="106"/>
      <c r="X154" s="106"/>
      <c r="Y154" s="106"/>
      <c r="Z154" s="106"/>
      <c r="AA154" s="106"/>
      <c r="AB154" s="106"/>
      <c r="AC154" s="106"/>
      <c r="AD154" s="106"/>
      <c r="AE154" s="106"/>
      <c r="AF154" s="106"/>
      <c r="AG154" s="106"/>
      <c r="AH154" s="106"/>
      <c r="AI154" s="106"/>
      <c r="AJ154" s="106"/>
      <c r="AK154" s="106"/>
      <c r="AL154" s="106"/>
      <c r="AM154" s="106"/>
      <c r="AN154" s="28"/>
      <c r="AO154" s="28"/>
      <c r="AP154" s="106" t="s">
        <v>37</v>
      </c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28"/>
      <c r="BR154" s="73"/>
      <c r="BS154" s="73"/>
      <c r="BT154" s="73"/>
      <c r="EB154" s="73"/>
    </row>
    <row r="155" spans="1:132" ht="14.25" customHeight="1" x14ac:dyDescent="0.25"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</row>
    <row r="156" spans="1:132" ht="14.25" customHeight="1" x14ac:dyDescent="0.25">
      <c r="A156" s="73"/>
      <c r="B156" s="73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  <c r="BC156" s="72"/>
      <c r="BD156" s="72"/>
      <c r="BE156" s="72"/>
      <c r="BF156" s="72"/>
      <c r="BG156" s="73"/>
      <c r="BH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73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</row>
    <row r="157" spans="1:132" ht="14.25" customHeight="1" x14ac:dyDescent="0.25">
      <c r="A157" s="73"/>
      <c r="B157" s="73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  <c r="BC157" s="72"/>
      <c r="BD157" s="72"/>
      <c r="BE157" s="72"/>
      <c r="BF157" s="72"/>
      <c r="BG157" s="73"/>
      <c r="BH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73"/>
      <c r="CG157" s="73"/>
      <c r="CH157" s="73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</row>
    <row r="158" spans="1:132" ht="14.25" customHeight="1" x14ac:dyDescent="0.25">
      <c r="A158" s="73"/>
      <c r="B158" s="73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  <c r="BC158" s="72"/>
      <c r="BD158" s="72"/>
      <c r="BE158" s="72"/>
      <c r="BF158" s="72"/>
      <c r="BG158" s="73"/>
      <c r="BH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73"/>
      <c r="CG158" s="73"/>
      <c r="CH158" s="73"/>
      <c r="CI158" s="73"/>
      <c r="CJ158" s="73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</row>
    <row r="159" spans="1:132" ht="14.25" customHeight="1" x14ac:dyDescent="0.25">
      <c r="A159" s="73"/>
      <c r="B159" s="73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  <c r="BC159" s="72"/>
      <c r="BD159" s="72"/>
      <c r="BE159" s="72"/>
      <c r="BF159" s="72"/>
      <c r="BG159" s="73"/>
      <c r="BH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73"/>
      <c r="CG159" s="73"/>
      <c r="CH159" s="73"/>
      <c r="CI159" s="73"/>
      <c r="CJ159" s="73"/>
      <c r="CK159" s="73"/>
      <c r="CL159" s="73"/>
      <c r="CM159" s="73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</row>
    <row r="160" spans="1:132" ht="14.25" customHeight="1" x14ac:dyDescent="0.25">
      <c r="A160" s="73"/>
      <c r="B160" s="73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  <c r="BC160" s="72"/>
      <c r="BD160" s="72"/>
      <c r="BE160" s="72"/>
      <c r="BF160" s="72"/>
      <c r="BG160" s="73"/>
      <c r="BH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73"/>
      <c r="CG160" s="73"/>
      <c r="CH160" s="73"/>
      <c r="CI160" s="73"/>
      <c r="CJ160" s="73"/>
      <c r="CK160" s="73"/>
      <c r="CL160" s="73"/>
      <c r="CM160" s="73"/>
      <c r="CN160" s="73"/>
      <c r="CO160" s="73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</row>
    <row r="161" spans="1:132" ht="14.25" customHeight="1" x14ac:dyDescent="0.25">
      <c r="A161" s="73"/>
      <c r="B161" s="73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  <c r="BC161" s="72"/>
      <c r="BD161" s="72"/>
      <c r="BE161" s="72"/>
      <c r="BF161" s="72"/>
      <c r="BG161" s="73"/>
      <c r="BH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73"/>
      <c r="CG161" s="73"/>
      <c r="CH161" s="73"/>
      <c r="CI161" s="73"/>
      <c r="CJ161" s="73"/>
      <c r="CK161" s="73"/>
      <c r="CL161" s="73"/>
      <c r="CM161" s="73"/>
      <c r="CN161" s="73"/>
      <c r="CO161" s="73"/>
      <c r="CP161" s="73"/>
      <c r="CQ161" s="73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</row>
    <row r="162" spans="1:132" ht="14.25" customHeight="1" x14ac:dyDescent="0.25">
      <c r="A162" s="73"/>
      <c r="B162" s="73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  <c r="BC162" s="72"/>
      <c r="BD162" s="72"/>
      <c r="BE162" s="72"/>
      <c r="BF162" s="72"/>
      <c r="BG162" s="73"/>
      <c r="BH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73"/>
      <c r="CG162" s="73"/>
      <c r="CH162" s="73"/>
      <c r="CI162" s="73"/>
      <c r="CJ162" s="73"/>
      <c r="CK162" s="73"/>
      <c r="CL162" s="73"/>
      <c r="CM162" s="73"/>
      <c r="CN162" s="73"/>
      <c r="CO162" s="73"/>
      <c r="CP162" s="73"/>
      <c r="CQ162" s="73"/>
      <c r="CR162" s="73"/>
      <c r="CS162" s="73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</row>
    <row r="163" spans="1:132" ht="14.25" customHeight="1" x14ac:dyDescent="0.25">
      <c r="A163" s="73"/>
      <c r="B163" s="73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BD163" s="72"/>
      <c r="BE163" s="72"/>
      <c r="BF163" s="72"/>
      <c r="BG163" s="73"/>
      <c r="BH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73"/>
      <c r="CG163" s="73"/>
      <c r="CH163" s="73"/>
      <c r="CI163" s="73"/>
      <c r="CJ163" s="73"/>
      <c r="CK163" s="73"/>
      <c r="CL163" s="73"/>
      <c r="CM163" s="73"/>
      <c r="CN163" s="73"/>
      <c r="CO163" s="73"/>
      <c r="CP163" s="73"/>
      <c r="CQ163" s="73"/>
      <c r="CR163" s="73"/>
      <c r="CS163" s="73"/>
      <c r="CT163" s="73"/>
      <c r="CU163" s="73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</row>
  </sheetData>
  <dataConsolidate/>
  <mergeCells count="97">
    <mergeCell ref="AP97:AS99"/>
    <mergeCell ref="C81:I82"/>
    <mergeCell ref="J81:BF82"/>
    <mergeCell ref="C98:E99"/>
    <mergeCell ref="I98:AC99"/>
    <mergeCell ref="AH98:AI99"/>
    <mergeCell ref="AK98:AN99"/>
    <mergeCell ref="AT98:AW99"/>
    <mergeCell ref="AY98:BB99"/>
    <mergeCell ref="BC98:BF99"/>
    <mergeCell ref="C93:M93"/>
    <mergeCell ref="AF94:AL96"/>
    <mergeCell ref="C95:L96"/>
    <mergeCell ref="N95:AC96"/>
    <mergeCell ref="AM95:BF96"/>
    <mergeCell ref="C89:BF89"/>
    <mergeCell ref="C101:M101"/>
    <mergeCell ref="AF102:AL104"/>
    <mergeCell ref="C103:L104"/>
    <mergeCell ref="N103:AC104"/>
    <mergeCell ref="AM103:BF104"/>
    <mergeCell ref="C84:N85"/>
    <mergeCell ref="P84:BF85"/>
    <mergeCell ref="C87:N88"/>
    <mergeCell ref="P87:BF88"/>
    <mergeCell ref="C62:O63"/>
    <mergeCell ref="P62:T63"/>
    <mergeCell ref="V62:AC63"/>
    <mergeCell ref="AD62:AK63"/>
    <mergeCell ref="AY62:BF63"/>
    <mergeCell ref="AP62:AX63"/>
    <mergeCell ref="C76:BF76"/>
    <mergeCell ref="AC72:BF73"/>
    <mergeCell ref="C72:AB73"/>
    <mergeCell ref="C66:I67"/>
    <mergeCell ref="J66:AN67"/>
    <mergeCell ref="AP66:AX67"/>
    <mergeCell ref="AY66:BF67"/>
    <mergeCell ref="C69:AB70"/>
    <mergeCell ref="AC69:BF70"/>
    <mergeCell ref="AQ43:AX44"/>
    <mergeCell ref="AY43:BF44"/>
    <mergeCell ref="AL49:AR50"/>
    <mergeCell ref="AS49:AX50"/>
    <mergeCell ref="AY49:BF50"/>
    <mergeCell ref="C46:Q47"/>
    <mergeCell ref="C49:H50"/>
    <mergeCell ref="I49:V50"/>
    <mergeCell ref="W49:Z50"/>
    <mergeCell ref="AA49:AF50"/>
    <mergeCell ref="AG49:AK50"/>
    <mergeCell ref="AL40:AR41"/>
    <mergeCell ref="AS40:AX41"/>
    <mergeCell ref="AY40:BF41"/>
    <mergeCell ref="C43:G44"/>
    <mergeCell ref="I43:AP44"/>
    <mergeCell ref="C40:G41"/>
    <mergeCell ref="I40:V41"/>
    <mergeCell ref="W40:Z41"/>
    <mergeCell ref="AA40:AG41"/>
    <mergeCell ref="AH40:AK41"/>
    <mergeCell ref="AK37:BD38"/>
    <mergeCell ref="C37:U38"/>
    <mergeCell ref="W37:AD38"/>
    <mergeCell ref="AM25:AQ26"/>
    <mergeCell ref="C28:G29"/>
    <mergeCell ref="I28:AC29"/>
    <mergeCell ref="I31:AC32"/>
    <mergeCell ref="AF31:AJ32"/>
    <mergeCell ref="C25:G26"/>
    <mergeCell ref="I25:AC26"/>
    <mergeCell ref="C31:H32"/>
    <mergeCell ref="AE25:AK26"/>
    <mergeCell ref="AG37:AJ38"/>
    <mergeCell ref="AY106:BB107"/>
    <mergeCell ref="BC106:BF107"/>
    <mergeCell ref="C111:J113"/>
    <mergeCell ref="AD111:AL113"/>
    <mergeCell ref="M112:AB113"/>
    <mergeCell ref="AM112:BF113"/>
    <mergeCell ref="AP105:AS107"/>
    <mergeCell ref="C106:E107"/>
    <mergeCell ref="I106:AC107"/>
    <mergeCell ref="AH106:AI107"/>
    <mergeCell ref="AK106:AN107"/>
    <mergeCell ref="AT106:AW107"/>
    <mergeCell ref="C115:I116"/>
    <mergeCell ref="M115:AB116"/>
    <mergeCell ref="AD115:AF116"/>
    <mergeCell ref="AM115:BF116"/>
    <mergeCell ref="C120:BF150"/>
    <mergeCell ref="C151:S152"/>
    <mergeCell ref="V151:AM152"/>
    <mergeCell ref="AP151:BF152"/>
    <mergeCell ref="C154:S154"/>
    <mergeCell ref="V154:AM154"/>
    <mergeCell ref="AP154:BF154"/>
  </mergeCells>
  <dataValidations xWindow="1094" yWindow="511" count="7">
    <dataValidation type="whole" operator="greaterThan" allowBlank="1" showInputMessage="1" showErrorMessage="1" promptTitle="Введите год в формате" prompt="&quot;ГГГГ&quot;" sqref="AL25">
      <formula1>1900</formula1>
    </dataValidation>
    <dataValidation allowBlank="1" showInputMessage="1" showErrorMessage="1" prompt="Введите год в формате ГГГГ" sqref="AM25:AQ26"/>
    <dataValidation type="date" operator="greaterThan" allowBlank="1" showInputMessage="1" showErrorMessage="1" promptTitle="Введите дату в формате " prompt="&quot;ДД.ММ.ГГГГ&quot;" sqref="AY49:BF50 AY40:BF41 AL71 AY62:BF63 AC69 AC72 O85 P84 P87">
      <formula1>1</formula1>
    </dataValidation>
    <dataValidation type="date" operator="greaterThan" allowBlank="1" showErrorMessage="1" promptTitle="Введите дату в формате " prompt="&quot;ДД.ММ.ГГГГ&quot;" sqref="O88">
      <formula1>1</formula1>
    </dataValidation>
    <dataValidation operator="equal" allowBlank="1" showInputMessage="1" showErrorMessage="1" sqref="AA49:AF50 AL49:AR50 P62:T63 AD62:AK63 AA40:AG41 AL40:AR41 AK37"/>
    <dataValidation type="date" operator="greaterThan" allowBlank="1" showInputMessage="1" showErrorMessage="1" promptTitle="Введите дату в формате" prompt="&quot;ДД.ММ.ГГГГ&quot;" sqref="C151:S153">
      <formula1>36526</formula1>
    </dataValidation>
    <dataValidation allowBlank="1" showInputMessage="1" showErrorMessage="1" promptTitle="Введите номер в формате" prompt="&quot;XXXXXXXXXXX&quot;" sqref="M112:AB113 AM112 M115:AB116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094" yWindow="511" count="1">
        <x14:dataValidation type="list" operator="equal" allowBlank="1" showInputMessage="1" prompt="Выберите из списка">
          <x14:formula1>
            <xm:f>DB!$C$3:$C$4</xm:f>
          </x14:formula1>
          <xm:sqref>W37:AD38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6:BH479"/>
  <sheetViews>
    <sheetView showGridLines="0" topLeftCell="A423" zoomScale="70" zoomScaleNormal="70" workbookViewId="0">
      <selection activeCell="BT454" sqref="BT454"/>
    </sheetView>
  </sheetViews>
  <sheetFormatPr defaultColWidth="3" defaultRowHeight="14.25" customHeight="1" x14ac:dyDescent="0.25"/>
  <cols>
    <col min="1" max="1" width="3" style="27"/>
    <col min="2" max="75" width="3.140625" style="27" customWidth="1"/>
    <col min="76" max="16384" width="3" style="27"/>
  </cols>
  <sheetData>
    <row r="6" spans="1:60" ht="14.25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</row>
    <row r="7" spans="1:60" ht="14.25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</row>
    <row r="8" spans="1:60" ht="14.25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</row>
    <row r="9" spans="1:60" ht="14.25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</row>
    <row r="10" spans="1:60" ht="14.25" customHeight="1" x14ac:dyDescent="0.25">
      <c r="A10" s="39"/>
      <c r="B10" s="39"/>
      <c r="C10" s="160" t="s">
        <v>39</v>
      </c>
      <c r="D10" s="160"/>
      <c r="E10" s="160"/>
      <c r="F10" s="160"/>
      <c r="G10" s="160"/>
      <c r="H10" s="175"/>
      <c r="I10" s="169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1"/>
      <c r="AD10" s="229" t="s">
        <v>40</v>
      </c>
      <c r="AE10" s="245"/>
      <c r="AF10" s="245"/>
      <c r="AG10" s="245"/>
      <c r="AH10" s="245"/>
      <c r="AI10" s="245"/>
      <c r="AJ10" s="245"/>
      <c r="AK10" s="246"/>
      <c r="AL10" s="94"/>
      <c r="AM10" s="95"/>
      <c r="AN10" s="95"/>
      <c r="AO10" s="95"/>
      <c r="AP10" s="96"/>
      <c r="AQ10" s="229" t="s">
        <v>41</v>
      </c>
      <c r="AR10" s="200"/>
      <c r="AS10" s="200"/>
      <c r="AT10" s="200"/>
      <c r="AU10" s="200"/>
      <c r="AV10" s="218"/>
      <c r="AW10" s="169"/>
      <c r="AX10" s="170"/>
      <c r="AY10" s="170"/>
      <c r="AZ10" s="170"/>
      <c r="BA10" s="170"/>
      <c r="BB10" s="170"/>
      <c r="BC10" s="170"/>
      <c r="BD10" s="170"/>
      <c r="BE10" s="170"/>
      <c r="BF10" s="171"/>
      <c r="BG10" s="39"/>
      <c r="BH10" s="39"/>
    </row>
    <row r="11" spans="1:60" ht="14.25" customHeight="1" x14ac:dyDescent="0.25">
      <c r="A11" s="39"/>
      <c r="B11" s="39"/>
      <c r="C11" s="160"/>
      <c r="D11" s="160"/>
      <c r="E11" s="160"/>
      <c r="F11" s="160"/>
      <c r="G11" s="160"/>
      <c r="H11" s="175"/>
      <c r="I11" s="172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4"/>
      <c r="AD11" s="247"/>
      <c r="AE11" s="245"/>
      <c r="AF11" s="245"/>
      <c r="AG11" s="245"/>
      <c r="AH11" s="245"/>
      <c r="AI11" s="245"/>
      <c r="AJ11" s="245"/>
      <c r="AK11" s="246"/>
      <c r="AL11" s="97"/>
      <c r="AM11" s="98"/>
      <c r="AN11" s="98"/>
      <c r="AO11" s="98"/>
      <c r="AP11" s="99"/>
      <c r="AQ11" s="233"/>
      <c r="AR11" s="200"/>
      <c r="AS11" s="200"/>
      <c r="AT11" s="200"/>
      <c r="AU11" s="200"/>
      <c r="AV11" s="218"/>
      <c r="AW11" s="172"/>
      <c r="AX11" s="173"/>
      <c r="AY11" s="173"/>
      <c r="AZ11" s="173"/>
      <c r="BA11" s="173"/>
      <c r="BB11" s="173"/>
      <c r="BC11" s="173"/>
      <c r="BD11" s="173"/>
      <c r="BE11" s="173"/>
      <c r="BF11" s="174"/>
      <c r="BG11" s="39"/>
      <c r="BH11" s="39"/>
    </row>
    <row r="12" spans="1:60" ht="14.25" customHeight="1" x14ac:dyDescent="0.25">
      <c r="A12" s="39"/>
      <c r="B12" s="39"/>
      <c r="C12" s="38"/>
      <c r="D12" s="38"/>
      <c r="E12" s="38"/>
      <c r="F12" s="38"/>
      <c r="G12" s="38"/>
      <c r="H12" s="38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/>
      <c r="AI12" s="38"/>
      <c r="AJ12" s="38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</row>
    <row r="13" spans="1:60" ht="14.25" customHeight="1" x14ac:dyDescent="0.25">
      <c r="A13" s="39"/>
      <c r="B13" s="39"/>
      <c r="C13" s="160" t="s">
        <v>42</v>
      </c>
      <c r="D13" s="160"/>
      <c r="E13" s="160"/>
      <c r="F13" s="160"/>
      <c r="G13" s="160"/>
      <c r="H13" s="39"/>
      <c r="I13" s="169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1"/>
      <c r="AD13" s="229" t="s">
        <v>43</v>
      </c>
      <c r="AE13" s="245"/>
      <c r="AF13" s="245"/>
      <c r="AG13" s="245"/>
      <c r="AH13" s="245"/>
      <c r="AI13" s="245"/>
      <c r="AJ13" s="245"/>
      <c r="AK13" s="246"/>
      <c r="AL13" s="169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1"/>
      <c r="BG13" s="39"/>
      <c r="BH13" s="39"/>
    </row>
    <row r="14" spans="1:60" ht="14.25" customHeight="1" x14ac:dyDescent="0.25">
      <c r="A14" s="39"/>
      <c r="B14" s="39"/>
      <c r="C14" s="160"/>
      <c r="D14" s="160"/>
      <c r="E14" s="160"/>
      <c r="F14" s="160"/>
      <c r="G14" s="160"/>
      <c r="H14" s="39"/>
      <c r="I14" s="172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4"/>
      <c r="AD14" s="247"/>
      <c r="AE14" s="245"/>
      <c r="AF14" s="245"/>
      <c r="AG14" s="245"/>
      <c r="AH14" s="245"/>
      <c r="AI14" s="245"/>
      <c r="AJ14" s="245"/>
      <c r="AK14" s="246"/>
      <c r="AL14" s="172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4"/>
      <c r="BG14" s="39"/>
      <c r="BH14" s="39"/>
    </row>
    <row r="15" spans="1:60" ht="14.25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/>
      <c r="AI15" s="38"/>
      <c r="AJ15" s="38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</row>
    <row r="16" spans="1:60" ht="14.25" customHeight="1" x14ac:dyDescent="0.25">
      <c r="A16" s="39"/>
      <c r="B16" s="39"/>
      <c r="C16" s="160" t="s">
        <v>44</v>
      </c>
      <c r="D16" s="160"/>
      <c r="E16" s="160"/>
      <c r="F16" s="160"/>
      <c r="G16" s="160"/>
      <c r="H16" s="39"/>
      <c r="I16" s="169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170"/>
      <c r="AC16" s="171"/>
      <c r="AD16" s="39"/>
      <c r="AE16" s="239" t="s">
        <v>45</v>
      </c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39"/>
      <c r="AR16" s="239"/>
      <c r="AS16" s="239"/>
      <c r="AT16" s="94" t="s">
        <v>46</v>
      </c>
      <c r="AU16" s="95"/>
      <c r="AV16" s="95"/>
      <c r="AW16" s="96"/>
      <c r="AX16" s="36"/>
      <c r="AY16" s="162" t="s">
        <v>259</v>
      </c>
      <c r="AZ16" s="162"/>
      <c r="BA16" s="240"/>
      <c r="BB16" s="115"/>
      <c r="BC16" s="116"/>
      <c r="BD16" s="116"/>
      <c r="BE16" s="116"/>
      <c r="BF16" s="117"/>
      <c r="BG16" s="39"/>
      <c r="BH16" s="39"/>
    </row>
    <row r="17" spans="1:60" ht="14.25" customHeight="1" x14ac:dyDescent="0.25">
      <c r="A17" s="39"/>
      <c r="B17" s="39"/>
      <c r="C17" s="160"/>
      <c r="D17" s="160"/>
      <c r="E17" s="160"/>
      <c r="F17" s="160"/>
      <c r="G17" s="160"/>
      <c r="H17" s="39"/>
      <c r="I17" s="172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4"/>
      <c r="AD17" s="39"/>
      <c r="AE17" s="239"/>
      <c r="AF17" s="239"/>
      <c r="AG17" s="239"/>
      <c r="AH17" s="239"/>
      <c r="AI17" s="239"/>
      <c r="AJ17" s="239"/>
      <c r="AK17" s="239"/>
      <c r="AL17" s="239"/>
      <c r="AM17" s="239"/>
      <c r="AN17" s="239"/>
      <c r="AO17" s="239"/>
      <c r="AP17" s="239"/>
      <c r="AQ17" s="239"/>
      <c r="AR17" s="239"/>
      <c r="AS17" s="239"/>
      <c r="AT17" s="97"/>
      <c r="AU17" s="98"/>
      <c r="AV17" s="98"/>
      <c r="AW17" s="99"/>
      <c r="AX17" s="36"/>
      <c r="AY17" s="162"/>
      <c r="AZ17" s="162"/>
      <c r="BA17" s="240"/>
      <c r="BB17" s="118"/>
      <c r="BC17" s="119"/>
      <c r="BD17" s="119"/>
      <c r="BE17" s="119"/>
      <c r="BF17" s="120"/>
      <c r="BG17" s="39"/>
      <c r="BH17" s="39"/>
    </row>
    <row r="18" spans="1:60" ht="14.25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</row>
    <row r="19" spans="1:60" ht="14.25" customHeight="1" x14ac:dyDescent="0.25">
      <c r="A19" s="39"/>
      <c r="B19" s="39"/>
      <c r="C19" s="143" t="s">
        <v>262</v>
      </c>
      <c r="D19" s="143"/>
      <c r="E19" s="143"/>
      <c r="F19" s="143"/>
      <c r="G19" s="143"/>
      <c r="H19" s="39"/>
      <c r="I19" s="100" t="s">
        <v>31</v>
      </c>
      <c r="J19" s="101"/>
      <c r="K19" s="101"/>
      <c r="L19" s="101"/>
      <c r="M19" s="101"/>
      <c r="N19" s="101"/>
      <c r="O19" s="101"/>
      <c r="P19" s="101"/>
      <c r="Q19" s="248"/>
      <c r="R19" s="248"/>
      <c r="S19" s="248"/>
      <c r="T19" s="248"/>
      <c r="U19" s="248"/>
      <c r="V19" s="249"/>
      <c r="W19" s="146" t="s">
        <v>295</v>
      </c>
      <c r="X19" s="146"/>
      <c r="Y19" s="146"/>
      <c r="Z19" s="144"/>
      <c r="AA19" s="115"/>
      <c r="AB19" s="133"/>
      <c r="AC19" s="133"/>
      <c r="AD19" s="134"/>
      <c r="AE19" s="146" t="s">
        <v>263</v>
      </c>
      <c r="AF19" s="155"/>
      <c r="AG19" s="155"/>
      <c r="AH19" s="155"/>
      <c r="AI19" s="144"/>
      <c r="AJ19" s="115"/>
      <c r="AK19" s="252"/>
      <c r="AL19" s="252"/>
      <c r="AM19" s="252"/>
      <c r="AN19" s="252"/>
      <c r="AO19" s="252"/>
      <c r="AP19" s="252"/>
      <c r="AQ19" s="253"/>
      <c r="AR19" s="19"/>
      <c r="AS19" s="221" t="s">
        <v>264</v>
      </c>
      <c r="AT19" s="221"/>
      <c r="AU19" s="221"/>
      <c r="AV19" s="221"/>
      <c r="AW19" s="221"/>
      <c r="AX19" s="167"/>
      <c r="AY19" s="94"/>
      <c r="AZ19" s="95"/>
      <c r="BA19" s="95"/>
      <c r="BB19" s="95"/>
      <c r="BC19" s="95"/>
      <c r="BD19" s="95"/>
      <c r="BE19" s="95"/>
      <c r="BF19" s="96"/>
      <c r="BG19" s="39"/>
      <c r="BH19" s="39"/>
    </row>
    <row r="20" spans="1:60" ht="14.25" customHeight="1" x14ac:dyDescent="0.25">
      <c r="A20" s="39"/>
      <c r="B20" s="39"/>
      <c r="C20" s="143"/>
      <c r="D20" s="143"/>
      <c r="E20" s="143"/>
      <c r="F20" s="143"/>
      <c r="G20" s="143"/>
      <c r="H20" s="39"/>
      <c r="I20" s="103"/>
      <c r="J20" s="104"/>
      <c r="K20" s="104"/>
      <c r="L20" s="104"/>
      <c r="M20" s="104"/>
      <c r="N20" s="104"/>
      <c r="O20" s="104"/>
      <c r="P20" s="104"/>
      <c r="Q20" s="250"/>
      <c r="R20" s="250"/>
      <c r="S20" s="250"/>
      <c r="T20" s="250"/>
      <c r="U20" s="250"/>
      <c r="V20" s="251"/>
      <c r="W20" s="146"/>
      <c r="X20" s="146"/>
      <c r="Y20" s="146"/>
      <c r="Z20" s="144"/>
      <c r="AA20" s="135"/>
      <c r="AB20" s="136"/>
      <c r="AC20" s="136"/>
      <c r="AD20" s="137"/>
      <c r="AE20" s="155"/>
      <c r="AF20" s="155"/>
      <c r="AG20" s="155"/>
      <c r="AH20" s="155"/>
      <c r="AI20" s="144"/>
      <c r="AJ20" s="254"/>
      <c r="AK20" s="255"/>
      <c r="AL20" s="255"/>
      <c r="AM20" s="255"/>
      <c r="AN20" s="255"/>
      <c r="AO20" s="255"/>
      <c r="AP20" s="255"/>
      <c r="AQ20" s="256"/>
      <c r="AR20" s="19"/>
      <c r="AS20" s="221"/>
      <c r="AT20" s="221"/>
      <c r="AU20" s="221"/>
      <c r="AV20" s="221"/>
      <c r="AW20" s="221"/>
      <c r="AX20" s="167"/>
      <c r="AY20" s="97"/>
      <c r="AZ20" s="98"/>
      <c r="BA20" s="98"/>
      <c r="BB20" s="98"/>
      <c r="BC20" s="98"/>
      <c r="BD20" s="98"/>
      <c r="BE20" s="98"/>
      <c r="BF20" s="99"/>
      <c r="BG20" s="39"/>
      <c r="BH20" s="39"/>
    </row>
    <row r="21" spans="1:60" ht="14.25" customHeight="1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</row>
    <row r="22" spans="1:60" ht="14.25" customHeight="1" x14ac:dyDescent="0.25">
      <c r="A22" s="39"/>
      <c r="B22" s="39"/>
      <c r="C22" s="143" t="s">
        <v>296</v>
      </c>
      <c r="D22" s="143"/>
      <c r="E22" s="143"/>
      <c r="F22" s="143"/>
      <c r="G22" s="143"/>
      <c r="H22" s="218"/>
      <c r="I22" s="115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7"/>
      <c r="AP22" s="145" t="s">
        <v>265</v>
      </c>
      <c r="AQ22" s="200"/>
      <c r="AR22" s="200"/>
      <c r="AS22" s="200"/>
      <c r="AT22" s="200"/>
      <c r="AU22" s="200"/>
      <c r="AV22" s="200"/>
      <c r="AW22" s="200"/>
      <c r="AX22" s="218"/>
      <c r="AY22" s="115"/>
      <c r="AZ22" s="116"/>
      <c r="BA22" s="116"/>
      <c r="BB22" s="116"/>
      <c r="BC22" s="116"/>
      <c r="BD22" s="116"/>
      <c r="BE22" s="116"/>
      <c r="BF22" s="117"/>
      <c r="BG22" s="39"/>
      <c r="BH22" s="39"/>
    </row>
    <row r="23" spans="1:60" ht="14.25" customHeight="1" x14ac:dyDescent="0.25">
      <c r="A23" s="39"/>
      <c r="B23" s="39"/>
      <c r="C23" s="143"/>
      <c r="D23" s="143"/>
      <c r="E23" s="143"/>
      <c r="F23" s="143"/>
      <c r="G23" s="143"/>
      <c r="H23" s="218"/>
      <c r="I23" s="118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20"/>
      <c r="AP23" s="233"/>
      <c r="AQ23" s="200"/>
      <c r="AR23" s="200"/>
      <c r="AS23" s="200"/>
      <c r="AT23" s="200"/>
      <c r="AU23" s="200"/>
      <c r="AV23" s="200"/>
      <c r="AW23" s="200"/>
      <c r="AX23" s="218"/>
      <c r="AY23" s="118"/>
      <c r="AZ23" s="119"/>
      <c r="BA23" s="119"/>
      <c r="BB23" s="119"/>
      <c r="BC23" s="119"/>
      <c r="BD23" s="119"/>
      <c r="BE23" s="119"/>
      <c r="BF23" s="120"/>
      <c r="BG23" s="39"/>
      <c r="BH23" s="39"/>
    </row>
    <row r="24" spans="1:60" ht="14.25" customHeight="1" x14ac:dyDescent="0.25">
      <c r="A24" s="39"/>
      <c r="B24" s="39"/>
      <c r="C24" s="234" t="s">
        <v>38</v>
      </c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39"/>
      <c r="AQ24" s="41"/>
      <c r="AR24" s="41"/>
      <c r="AS24" s="41"/>
      <c r="AT24" s="41"/>
      <c r="AU24" s="41"/>
      <c r="AV24" s="41"/>
      <c r="AW24" s="41"/>
      <c r="AX24" s="13"/>
      <c r="AY24" s="22"/>
      <c r="AZ24" s="22"/>
      <c r="BA24" s="22"/>
      <c r="BB24" s="22"/>
      <c r="BC24" s="22"/>
      <c r="BD24" s="22"/>
      <c r="BE24" s="22"/>
      <c r="BF24" s="22"/>
      <c r="BG24" s="39"/>
      <c r="BH24" s="39"/>
    </row>
    <row r="25" spans="1:60" ht="14.25" customHeight="1" x14ac:dyDescent="0.25">
      <c r="A25" s="39"/>
      <c r="B25" s="39"/>
      <c r="C25" s="234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43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257" t="s">
        <v>267</v>
      </c>
      <c r="AE25" s="258"/>
      <c r="AF25" s="258"/>
      <c r="AG25" s="258"/>
      <c r="AH25" s="258"/>
      <c r="AI25" s="258"/>
      <c r="AJ25" s="258"/>
      <c r="AK25" s="258"/>
      <c r="AL25" s="258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</row>
    <row r="26" spans="1:60" ht="14.25" customHeight="1" x14ac:dyDescent="0.25">
      <c r="A26" s="39"/>
      <c r="B26" s="39"/>
      <c r="C26" s="237" t="s">
        <v>266</v>
      </c>
      <c r="D26" s="237"/>
      <c r="E26" s="237"/>
      <c r="F26" s="237"/>
      <c r="G26" s="237"/>
      <c r="H26" s="237"/>
      <c r="I26" s="237"/>
      <c r="J26" s="237"/>
      <c r="K26" s="238"/>
      <c r="L26" s="115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7"/>
      <c r="AD26" s="258"/>
      <c r="AE26" s="258"/>
      <c r="AF26" s="258"/>
      <c r="AG26" s="258"/>
      <c r="AH26" s="258"/>
      <c r="AI26" s="258"/>
      <c r="AJ26" s="258"/>
      <c r="AK26" s="258"/>
      <c r="AL26" s="258"/>
      <c r="AM26" s="115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7"/>
      <c r="BG26" s="39"/>
      <c r="BH26" s="39"/>
    </row>
    <row r="27" spans="1:60" ht="14.25" customHeight="1" x14ac:dyDescent="0.25">
      <c r="A27" s="39"/>
      <c r="B27" s="39"/>
      <c r="C27" s="237"/>
      <c r="D27" s="237"/>
      <c r="E27" s="237"/>
      <c r="F27" s="237"/>
      <c r="G27" s="237"/>
      <c r="H27" s="237"/>
      <c r="I27" s="237"/>
      <c r="J27" s="237"/>
      <c r="K27" s="238"/>
      <c r="L27" s="118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20"/>
      <c r="AD27" s="258"/>
      <c r="AE27" s="258"/>
      <c r="AF27" s="258"/>
      <c r="AG27" s="258"/>
      <c r="AH27" s="258"/>
      <c r="AI27" s="258"/>
      <c r="AJ27" s="258"/>
      <c r="AK27" s="258"/>
      <c r="AL27" s="258"/>
      <c r="AM27" s="118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20"/>
      <c r="BG27" s="39"/>
      <c r="BH27" s="39"/>
    </row>
    <row r="28" spans="1:60" ht="14.25" customHeight="1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226" t="s">
        <v>270</v>
      </c>
      <c r="AP28" s="227"/>
      <c r="AQ28" s="227"/>
      <c r="AR28" s="227"/>
      <c r="AS28" s="227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</row>
    <row r="29" spans="1:60" ht="14.25" customHeight="1" x14ac:dyDescent="0.25">
      <c r="A29" s="39"/>
      <c r="B29" s="39"/>
      <c r="C29" s="143" t="s">
        <v>268</v>
      </c>
      <c r="D29" s="143"/>
      <c r="E29" s="143"/>
      <c r="F29" s="200"/>
      <c r="G29" s="39"/>
      <c r="H29" s="39"/>
      <c r="I29" s="115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7"/>
      <c r="AD29" s="39"/>
      <c r="AE29" s="39"/>
      <c r="AF29" s="39"/>
      <c r="AG29" s="143" t="s">
        <v>269</v>
      </c>
      <c r="AH29" s="200"/>
      <c r="AI29" s="200"/>
      <c r="AJ29" s="218"/>
      <c r="AK29" s="122"/>
      <c r="AL29" s="123"/>
      <c r="AM29" s="123"/>
      <c r="AN29" s="124"/>
      <c r="AO29" s="228"/>
      <c r="AP29" s="228"/>
      <c r="AQ29" s="228"/>
      <c r="AR29" s="228"/>
      <c r="AS29" s="228"/>
      <c r="AT29" s="122"/>
      <c r="AU29" s="123"/>
      <c r="AV29" s="123"/>
      <c r="AW29" s="124"/>
      <c r="AX29" s="229" t="s">
        <v>271</v>
      </c>
      <c r="AY29" s="230"/>
      <c r="AZ29" s="230"/>
      <c r="BA29" s="230"/>
      <c r="BB29" s="231"/>
      <c r="BC29" s="122"/>
      <c r="BD29" s="123"/>
      <c r="BE29" s="123"/>
      <c r="BF29" s="124"/>
      <c r="BG29" s="39"/>
      <c r="BH29" s="39"/>
    </row>
    <row r="30" spans="1:60" ht="14.25" customHeight="1" x14ac:dyDescent="0.25">
      <c r="A30" s="39"/>
      <c r="B30" s="39"/>
      <c r="C30" s="143"/>
      <c r="D30" s="143"/>
      <c r="E30" s="143"/>
      <c r="F30" s="200"/>
      <c r="G30" s="39"/>
      <c r="H30" s="39"/>
      <c r="I30" s="118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20"/>
      <c r="AD30" s="39"/>
      <c r="AE30" s="39"/>
      <c r="AF30" s="39"/>
      <c r="AG30" s="200"/>
      <c r="AH30" s="200"/>
      <c r="AI30" s="200"/>
      <c r="AJ30" s="218"/>
      <c r="AK30" s="125"/>
      <c r="AL30" s="126"/>
      <c r="AM30" s="126"/>
      <c r="AN30" s="127"/>
      <c r="AO30" s="228"/>
      <c r="AP30" s="228"/>
      <c r="AQ30" s="228"/>
      <c r="AR30" s="228"/>
      <c r="AS30" s="228"/>
      <c r="AT30" s="125"/>
      <c r="AU30" s="126"/>
      <c r="AV30" s="126"/>
      <c r="AW30" s="127"/>
      <c r="AX30" s="232"/>
      <c r="AY30" s="230"/>
      <c r="AZ30" s="230"/>
      <c r="BA30" s="230"/>
      <c r="BB30" s="231"/>
      <c r="BC30" s="125"/>
      <c r="BD30" s="126"/>
      <c r="BE30" s="126"/>
      <c r="BF30" s="127"/>
      <c r="BG30" s="39"/>
      <c r="BH30" s="39"/>
    </row>
    <row r="31" spans="1:60" ht="11.25" customHeight="1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</row>
    <row r="32" spans="1:60" ht="14.25" customHeight="1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</row>
    <row r="33" spans="1:60" ht="14.25" customHeight="1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</row>
    <row r="34" spans="1:60" ht="14.25" customHeight="1" x14ac:dyDescent="0.25">
      <c r="A34" s="39"/>
      <c r="B34" s="39"/>
      <c r="C34" s="39"/>
      <c r="D34" s="39"/>
      <c r="E34" s="39"/>
      <c r="F34" s="39"/>
      <c r="G34" s="37" t="s">
        <v>18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23" t="s">
        <v>19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23" t="s">
        <v>20</v>
      </c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23" t="s">
        <v>21</v>
      </c>
      <c r="BA34" s="39"/>
      <c r="BB34" s="39"/>
      <c r="BC34" s="39"/>
      <c r="BD34" s="39"/>
      <c r="BE34" s="39"/>
      <c r="BF34" s="39"/>
      <c r="BG34" s="39"/>
      <c r="BH34" s="39"/>
    </row>
    <row r="35" spans="1:60" ht="14.25" customHeight="1" x14ac:dyDescent="0.25">
      <c r="A35" s="39"/>
      <c r="B35" s="39"/>
      <c r="C35" s="39"/>
      <c r="D35" s="39"/>
      <c r="E35" s="39"/>
      <c r="F35" s="39"/>
      <c r="G35" s="39"/>
      <c r="H35" s="39"/>
      <c r="I35" s="8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8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8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8"/>
      <c r="BA35" s="39"/>
      <c r="BB35" s="39"/>
      <c r="BC35" s="39"/>
      <c r="BD35" s="39"/>
      <c r="BE35" s="39"/>
      <c r="BF35" s="39"/>
      <c r="BG35" s="39"/>
      <c r="BH35" s="39"/>
    </row>
    <row r="36" spans="1:60" ht="14.25" customHeight="1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40" t="s">
        <v>22</v>
      </c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</row>
    <row r="37" spans="1:60" ht="14.25" customHeight="1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</row>
    <row r="38" spans="1:60" ht="14.25" customHeight="1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</row>
    <row r="39" spans="1:60" ht="14.25" customHeight="1" x14ac:dyDescent="0.25">
      <c r="A39" s="39"/>
      <c r="B39" s="39"/>
      <c r="C39" s="160" t="s">
        <v>47</v>
      </c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80"/>
      <c r="O39" s="218"/>
      <c r="P39" s="115"/>
      <c r="Q39" s="212"/>
      <c r="R39" s="212"/>
      <c r="S39" s="212"/>
      <c r="T39" s="213"/>
      <c r="U39" s="146" t="s">
        <v>48</v>
      </c>
      <c r="V39" s="219"/>
      <c r="W39" s="219"/>
      <c r="X39" s="219"/>
      <c r="Y39" s="219"/>
      <c r="Z39" s="219"/>
      <c r="AA39" s="219"/>
      <c r="AB39" s="219"/>
      <c r="AC39" s="220"/>
      <c r="AD39" s="115"/>
      <c r="AE39" s="116"/>
      <c r="AF39" s="116"/>
      <c r="AG39" s="116"/>
      <c r="AH39" s="116"/>
      <c r="AI39" s="116"/>
      <c r="AJ39" s="116"/>
      <c r="AK39" s="117"/>
      <c r="AL39" s="39"/>
      <c r="AM39" s="39"/>
      <c r="AN39" s="39"/>
      <c r="AO39" s="39"/>
      <c r="AP39" s="39"/>
      <c r="AQ39" s="39"/>
      <c r="AR39" s="221" t="s">
        <v>49</v>
      </c>
      <c r="AS39" s="221"/>
      <c r="AT39" s="221"/>
      <c r="AU39" s="221"/>
      <c r="AV39" s="221"/>
      <c r="AW39" s="219"/>
      <c r="AX39" s="39"/>
      <c r="AY39" s="201"/>
      <c r="AZ39" s="202"/>
      <c r="BA39" s="202"/>
      <c r="BB39" s="202"/>
      <c r="BC39" s="202"/>
      <c r="BD39" s="202"/>
      <c r="BE39" s="202"/>
      <c r="BF39" s="203"/>
      <c r="BG39" s="39"/>
      <c r="BH39" s="39"/>
    </row>
    <row r="40" spans="1:60" ht="14.25" customHeight="1" x14ac:dyDescent="0.25">
      <c r="A40" s="39"/>
      <c r="B40" s="39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80"/>
      <c r="O40" s="218"/>
      <c r="P40" s="214"/>
      <c r="Q40" s="215"/>
      <c r="R40" s="215"/>
      <c r="S40" s="215"/>
      <c r="T40" s="216"/>
      <c r="U40" s="219"/>
      <c r="V40" s="219"/>
      <c r="W40" s="219"/>
      <c r="X40" s="219"/>
      <c r="Y40" s="219"/>
      <c r="Z40" s="219"/>
      <c r="AA40" s="219"/>
      <c r="AB40" s="219"/>
      <c r="AC40" s="220"/>
      <c r="AD40" s="118"/>
      <c r="AE40" s="119"/>
      <c r="AF40" s="119"/>
      <c r="AG40" s="119"/>
      <c r="AH40" s="119"/>
      <c r="AI40" s="119"/>
      <c r="AJ40" s="119"/>
      <c r="AK40" s="120"/>
      <c r="AL40" s="10"/>
      <c r="AM40" s="10"/>
      <c r="AN40" s="10"/>
      <c r="AO40" s="10"/>
      <c r="AP40" s="10"/>
      <c r="AQ40" s="10"/>
      <c r="AR40" s="221"/>
      <c r="AS40" s="221"/>
      <c r="AT40" s="221"/>
      <c r="AU40" s="221"/>
      <c r="AV40" s="221"/>
      <c r="AW40" s="219"/>
      <c r="AX40" s="40"/>
      <c r="AY40" s="204"/>
      <c r="AZ40" s="205"/>
      <c r="BA40" s="205"/>
      <c r="BB40" s="205"/>
      <c r="BC40" s="205"/>
      <c r="BD40" s="205"/>
      <c r="BE40" s="205"/>
      <c r="BF40" s="206"/>
      <c r="BG40" s="39"/>
      <c r="BH40" s="39"/>
    </row>
    <row r="41" spans="1:60" ht="14.25" customHeight="1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40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</row>
    <row r="42" spans="1:60" ht="14.25" customHeight="1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</row>
    <row r="43" spans="1:60" ht="14.25" customHeight="1" x14ac:dyDescent="0.25">
      <c r="A43" s="39"/>
      <c r="B43" s="39"/>
      <c r="C43" s="143" t="s">
        <v>50</v>
      </c>
      <c r="D43" s="143"/>
      <c r="E43" s="143"/>
      <c r="F43" s="143"/>
      <c r="G43" s="211"/>
      <c r="H43" s="200"/>
      <c r="I43" s="24"/>
      <c r="J43" s="115"/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3"/>
      <c r="AO43" s="39"/>
      <c r="AP43" s="163" t="s">
        <v>51</v>
      </c>
      <c r="AQ43" s="163"/>
      <c r="AR43" s="163"/>
      <c r="AS43" s="163"/>
      <c r="AT43" s="163"/>
      <c r="AU43" s="163"/>
      <c r="AV43" s="163"/>
      <c r="AW43" s="200"/>
      <c r="AX43" s="218"/>
      <c r="AY43" s="115"/>
      <c r="AZ43" s="116"/>
      <c r="BA43" s="116"/>
      <c r="BB43" s="116"/>
      <c r="BC43" s="116"/>
      <c r="BD43" s="116"/>
      <c r="BE43" s="116"/>
      <c r="BF43" s="117"/>
      <c r="BG43" s="39"/>
      <c r="BH43" s="39"/>
    </row>
    <row r="44" spans="1:60" ht="14.25" customHeight="1" x14ac:dyDescent="0.25">
      <c r="A44" s="40"/>
      <c r="B44" s="40"/>
      <c r="C44" s="143"/>
      <c r="D44" s="143"/>
      <c r="E44" s="143"/>
      <c r="F44" s="143"/>
      <c r="G44" s="211"/>
      <c r="H44" s="200"/>
      <c r="I44" s="24"/>
      <c r="J44" s="214"/>
      <c r="K44" s="215"/>
      <c r="L44" s="215"/>
      <c r="M44" s="215"/>
      <c r="N44" s="215"/>
      <c r="O44" s="215"/>
      <c r="P44" s="215"/>
      <c r="Q44" s="215"/>
      <c r="R44" s="215"/>
      <c r="S44" s="215"/>
      <c r="T44" s="215"/>
      <c r="U44" s="215"/>
      <c r="V44" s="215"/>
      <c r="W44" s="215"/>
      <c r="X44" s="215"/>
      <c r="Y44" s="215"/>
      <c r="Z44" s="215"/>
      <c r="AA44" s="215"/>
      <c r="AB44" s="215"/>
      <c r="AC44" s="215"/>
      <c r="AD44" s="215"/>
      <c r="AE44" s="215"/>
      <c r="AF44" s="215"/>
      <c r="AG44" s="215"/>
      <c r="AH44" s="215"/>
      <c r="AI44" s="215"/>
      <c r="AJ44" s="215"/>
      <c r="AK44" s="215"/>
      <c r="AL44" s="215"/>
      <c r="AM44" s="215"/>
      <c r="AN44" s="216"/>
      <c r="AO44" s="39"/>
      <c r="AP44" s="163"/>
      <c r="AQ44" s="163"/>
      <c r="AR44" s="163"/>
      <c r="AS44" s="163"/>
      <c r="AT44" s="163"/>
      <c r="AU44" s="163"/>
      <c r="AV44" s="163"/>
      <c r="AW44" s="200"/>
      <c r="AX44" s="218"/>
      <c r="AY44" s="118"/>
      <c r="AZ44" s="119"/>
      <c r="BA44" s="119"/>
      <c r="BB44" s="119"/>
      <c r="BC44" s="119"/>
      <c r="BD44" s="119"/>
      <c r="BE44" s="119"/>
      <c r="BF44" s="120"/>
      <c r="BG44" s="40"/>
      <c r="BH44" s="40"/>
    </row>
    <row r="45" spans="1:60" ht="14.25" customHeight="1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</row>
    <row r="46" spans="1:60" ht="14.25" customHeight="1" x14ac:dyDescent="0.25">
      <c r="A46" s="40"/>
      <c r="B46" s="40"/>
      <c r="C46" s="160" t="s">
        <v>52</v>
      </c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80"/>
      <c r="X46" s="222"/>
      <c r="Y46" s="223"/>
      <c r="Z46" s="94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12"/>
      <c r="AU46" s="212"/>
      <c r="AV46" s="212"/>
      <c r="AW46" s="212"/>
      <c r="AX46" s="212"/>
      <c r="AY46" s="212"/>
      <c r="AZ46" s="212"/>
      <c r="BA46" s="212"/>
      <c r="BB46" s="212"/>
      <c r="BC46" s="212"/>
      <c r="BD46" s="212"/>
      <c r="BE46" s="212"/>
      <c r="BF46" s="213"/>
      <c r="BG46" s="26"/>
      <c r="BH46" s="25"/>
    </row>
    <row r="47" spans="1:60" ht="14.25" customHeight="1" x14ac:dyDescent="0.25">
      <c r="A47" s="40"/>
      <c r="B47" s="4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80"/>
      <c r="X47" s="222"/>
      <c r="Y47" s="223"/>
      <c r="Z47" s="214"/>
      <c r="AA47" s="215"/>
      <c r="AB47" s="215"/>
      <c r="AC47" s="215"/>
      <c r="AD47" s="215"/>
      <c r="AE47" s="215"/>
      <c r="AF47" s="215"/>
      <c r="AG47" s="215"/>
      <c r="AH47" s="215"/>
      <c r="AI47" s="215"/>
      <c r="AJ47" s="215"/>
      <c r="AK47" s="215"/>
      <c r="AL47" s="215"/>
      <c r="AM47" s="215"/>
      <c r="AN47" s="215"/>
      <c r="AO47" s="215"/>
      <c r="AP47" s="215"/>
      <c r="AQ47" s="215"/>
      <c r="AR47" s="215"/>
      <c r="AS47" s="215"/>
      <c r="AT47" s="215"/>
      <c r="AU47" s="215"/>
      <c r="AV47" s="215"/>
      <c r="AW47" s="215"/>
      <c r="AX47" s="215"/>
      <c r="AY47" s="215"/>
      <c r="AZ47" s="215"/>
      <c r="BA47" s="215"/>
      <c r="BB47" s="215"/>
      <c r="BC47" s="215"/>
      <c r="BD47" s="215"/>
      <c r="BE47" s="215"/>
      <c r="BF47" s="216"/>
      <c r="BG47" s="26"/>
      <c r="BH47" s="25"/>
    </row>
    <row r="48" spans="1:60" ht="14.25" customHeight="1" x14ac:dyDescent="0.25">
      <c r="A48" s="40"/>
      <c r="B48" s="40"/>
      <c r="C48" s="37"/>
      <c r="D48" s="37"/>
      <c r="E48" s="37"/>
      <c r="F48" s="37"/>
      <c r="G48" s="37"/>
      <c r="H48" s="37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40"/>
      <c r="AE48" s="40"/>
      <c r="AF48" s="37"/>
      <c r="AG48" s="37"/>
      <c r="AH48" s="37"/>
      <c r="AI48" s="37"/>
      <c r="AJ48" s="37"/>
      <c r="AK48" s="37"/>
      <c r="AL48" s="25"/>
      <c r="AM48" s="25"/>
      <c r="AN48" s="25"/>
      <c r="AO48" s="25"/>
      <c r="AP48" s="25"/>
      <c r="AQ48" s="40"/>
      <c r="AR48" s="6"/>
      <c r="AS48" s="6"/>
      <c r="AT48" s="6"/>
      <c r="AU48" s="6"/>
      <c r="AV48" s="6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40"/>
      <c r="BH48" s="40"/>
    </row>
    <row r="49" spans="1:60" ht="14.25" customHeight="1" x14ac:dyDescent="0.25">
      <c r="A49" s="40"/>
      <c r="B49" s="40"/>
      <c r="C49" s="160" t="s">
        <v>90</v>
      </c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80"/>
      <c r="X49" s="222"/>
      <c r="Y49" s="24"/>
      <c r="Z49" s="94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  <c r="AU49" s="212"/>
      <c r="AV49" s="212"/>
      <c r="AW49" s="212"/>
      <c r="AX49" s="212"/>
      <c r="AY49" s="212"/>
      <c r="AZ49" s="212"/>
      <c r="BA49" s="212"/>
      <c r="BB49" s="212"/>
      <c r="BC49" s="212"/>
      <c r="BD49" s="212"/>
      <c r="BE49" s="212"/>
      <c r="BF49" s="213"/>
      <c r="BG49" s="26"/>
      <c r="BH49" s="25"/>
    </row>
    <row r="50" spans="1:60" ht="14.25" customHeight="1" x14ac:dyDescent="0.25">
      <c r="A50" s="40"/>
      <c r="B50" s="40"/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80"/>
      <c r="X50" s="222"/>
      <c r="Y50" s="24"/>
      <c r="Z50" s="214"/>
      <c r="AA50" s="215"/>
      <c r="AB50" s="215"/>
      <c r="AC50" s="215"/>
      <c r="AD50" s="215"/>
      <c r="AE50" s="215"/>
      <c r="AF50" s="215"/>
      <c r="AG50" s="215"/>
      <c r="AH50" s="215"/>
      <c r="AI50" s="215"/>
      <c r="AJ50" s="215"/>
      <c r="AK50" s="215"/>
      <c r="AL50" s="215"/>
      <c r="AM50" s="215"/>
      <c r="AN50" s="215"/>
      <c r="AO50" s="215"/>
      <c r="AP50" s="215"/>
      <c r="AQ50" s="215"/>
      <c r="AR50" s="215"/>
      <c r="AS50" s="215"/>
      <c r="AT50" s="215"/>
      <c r="AU50" s="215"/>
      <c r="AV50" s="215"/>
      <c r="AW50" s="215"/>
      <c r="AX50" s="215"/>
      <c r="AY50" s="215"/>
      <c r="AZ50" s="215"/>
      <c r="BA50" s="215"/>
      <c r="BB50" s="215"/>
      <c r="BC50" s="215"/>
      <c r="BD50" s="215"/>
      <c r="BE50" s="215"/>
      <c r="BF50" s="216"/>
      <c r="BG50" s="26"/>
      <c r="BH50" s="25"/>
    </row>
    <row r="51" spans="1:60" ht="14.25" customHeight="1" x14ac:dyDescent="0.25">
      <c r="A51" s="40"/>
      <c r="B51" s="40"/>
      <c r="C51" s="29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40"/>
      <c r="BH51" s="40"/>
    </row>
    <row r="52" spans="1:60" ht="14.25" customHeight="1" x14ac:dyDescent="0.25">
      <c r="A52" s="40"/>
      <c r="B52" s="40"/>
      <c r="C52" s="210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  <c r="AS52" s="217"/>
      <c r="AT52" s="217"/>
      <c r="AU52" s="217"/>
      <c r="AV52" s="217"/>
      <c r="AW52" s="217"/>
      <c r="AX52" s="217"/>
      <c r="AY52" s="217"/>
      <c r="AZ52" s="217"/>
      <c r="BA52" s="217"/>
      <c r="BB52" s="217"/>
      <c r="BC52" s="217"/>
      <c r="BD52" s="217"/>
      <c r="BE52" s="217"/>
      <c r="BF52" s="217"/>
      <c r="BG52" s="40"/>
      <c r="BH52" s="40"/>
    </row>
    <row r="53" spans="1:60" ht="3.2" hidden="1" customHeight="1" x14ac:dyDescent="0.25">
      <c r="A53" s="40"/>
      <c r="B53" s="40"/>
      <c r="C53" s="37"/>
      <c r="D53" s="37"/>
      <c r="E53" s="37"/>
      <c r="F53" s="37"/>
      <c r="G53" s="37"/>
      <c r="H53" s="40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40"/>
      <c r="AE53" s="40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40"/>
      <c r="AY53" s="25"/>
      <c r="AZ53" s="25"/>
      <c r="BA53" s="25"/>
      <c r="BB53" s="25"/>
      <c r="BC53" s="25"/>
      <c r="BD53" s="25"/>
      <c r="BE53" s="25"/>
      <c r="BF53" s="25"/>
      <c r="BG53" s="40"/>
      <c r="BH53" s="40"/>
    </row>
    <row r="54" spans="1:60" ht="14.25" customHeight="1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22"/>
      <c r="AP54" s="39"/>
      <c r="AQ54" s="39"/>
      <c r="AR54" s="39"/>
      <c r="AS54" s="39"/>
      <c r="AT54" s="39"/>
      <c r="AU54" s="39"/>
      <c r="AV54" s="39"/>
      <c r="AW54" s="45"/>
      <c r="AX54" s="12"/>
      <c r="AY54" s="39"/>
      <c r="AZ54" s="39"/>
      <c r="BA54" s="39"/>
      <c r="BB54" s="39"/>
      <c r="BC54" s="39"/>
      <c r="BD54" s="39"/>
      <c r="BE54" s="39"/>
      <c r="BF54" s="39"/>
      <c r="BG54" s="39"/>
      <c r="BH54" s="39"/>
    </row>
    <row r="55" spans="1:60" ht="14.25" customHeight="1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22"/>
      <c r="AP55" s="39"/>
      <c r="AQ55" s="39"/>
      <c r="AR55" s="39"/>
      <c r="AS55" s="39"/>
      <c r="AT55" s="39"/>
      <c r="AU55" s="39"/>
      <c r="AV55" s="39"/>
      <c r="AW55" s="45"/>
      <c r="AX55" s="12"/>
      <c r="AY55" s="39"/>
      <c r="AZ55" s="39"/>
      <c r="BA55" s="39"/>
      <c r="BB55" s="39"/>
      <c r="BC55" s="39"/>
      <c r="BD55" s="39"/>
      <c r="BE55" s="39"/>
      <c r="BF55" s="39"/>
      <c r="BG55" s="39"/>
      <c r="BH55" s="39"/>
    </row>
    <row r="56" spans="1:60" ht="14.25" customHeight="1" x14ac:dyDescent="0.25">
      <c r="A56" s="39"/>
      <c r="B56" s="39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39"/>
      <c r="BH56" s="39"/>
    </row>
    <row r="57" spans="1:60" ht="14.25" customHeight="1" x14ac:dyDescent="0.25">
      <c r="A57" s="39"/>
      <c r="B57" s="39"/>
      <c r="C57" s="40"/>
      <c r="D57" s="40"/>
      <c r="E57" s="40"/>
      <c r="F57" s="40"/>
      <c r="G57" s="40"/>
      <c r="H57" s="40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40"/>
      <c r="AQ57" s="41"/>
      <c r="AR57" s="41"/>
      <c r="AS57" s="41"/>
      <c r="AT57" s="41"/>
      <c r="AU57" s="41"/>
      <c r="AV57" s="41"/>
      <c r="AW57" s="41"/>
      <c r="AX57" s="13"/>
      <c r="AY57" s="22"/>
      <c r="AZ57" s="22"/>
      <c r="BA57" s="22"/>
      <c r="BB57" s="22"/>
      <c r="BC57" s="22"/>
      <c r="BD57" s="22"/>
      <c r="BE57" s="22"/>
      <c r="BF57" s="22"/>
      <c r="BG57" s="39"/>
      <c r="BH57" s="39"/>
    </row>
    <row r="58" spans="1:60" ht="14.25" customHeight="1" x14ac:dyDescent="0.25">
      <c r="A58" s="39"/>
      <c r="B58" s="39"/>
      <c r="C58" s="160" t="s">
        <v>53</v>
      </c>
      <c r="D58" s="224"/>
      <c r="E58" s="224"/>
      <c r="F58" s="224"/>
      <c r="G58" s="224"/>
      <c r="H58" s="224"/>
      <c r="I58" s="218"/>
      <c r="J58" s="115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7"/>
      <c r="BG58" s="39"/>
      <c r="BH58" s="39"/>
    </row>
    <row r="59" spans="1:60" ht="14.25" customHeight="1" x14ac:dyDescent="0.25">
      <c r="A59" s="39"/>
      <c r="B59" s="39"/>
      <c r="C59" s="224"/>
      <c r="D59" s="224"/>
      <c r="E59" s="224"/>
      <c r="F59" s="224"/>
      <c r="G59" s="224"/>
      <c r="H59" s="224"/>
      <c r="I59" s="218"/>
      <c r="J59" s="118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  <c r="BC59" s="119"/>
      <c r="BD59" s="119"/>
      <c r="BE59" s="119"/>
      <c r="BF59" s="120"/>
      <c r="BG59" s="39"/>
      <c r="BH59" s="39"/>
    </row>
    <row r="60" spans="1:60" ht="14.25" customHeight="1" x14ac:dyDescent="0.25">
      <c r="A60" s="39"/>
      <c r="B60" s="39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5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12"/>
      <c r="AF60" s="16"/>
      <c r="AG60" s="16"/>
      <c r="AH60" s="16"/>
      <c r="AI60" s="16"/>
      <c r="AJ60" s="16"/>
      <c r="AK60" s="16"/>
      <c r="AL60" s="16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39"/>
      <c r="BH60" s="39"/>
    </row>
    <row r="61" spans="1:60" ht="14.25" customHeight="1" x14ac:dyDescent="0.25">
      <c r="A61" s="39"/>
      <c r="B61" s="39"/>
      <c r="C61" s="160" t="s">
        <v>54</v>
      </c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80"/>
      <c r="O61" s="22"/>
      <c r="P61" s="24"/>
      <c r="Q61" s="94"/>
      <c r="R61" s="212"/>
      <c r="S61" s="212"/>
      <c r="T61" s="212"/>
      <c r="U61" s="212"/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3"/>
      <c r="BG61" s="26"/>
      <c r="BH61" s="25"/>
    </row>
    <row r="62" spans="1:60" ht="14.25" customHeight="1" x14ac:dyDescent="0.25">
      <c r="A62" s="39"/>
      <c r="B62" s="39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80"/>
      <c r="O62" s="22"/>
      <c r="P62" s="24"/>
      <c r="Q62" s="214"/>
      <c r="R62" s="215"/>
      <c r="S62" s="215"/>
      <c r="T62" s="215"/>
      <c r="U62" s="215"/>
      <c r="V62" s="215"/>
      <c r="W62" s="215"/>
      <c r="X62" s="215"/>
      <c r="Y62" s="215"/>
      <c r="Z62" s="215"/>
      <c r="AA62" s="215"/>
      <c r="AB62" s="215"/>
      <c r="AC62" s="215"/>
      <c r="AD62" s="215"/>
      <c r="AE62" s="215"/>
      <c r="AF62" s="215"/>
      <c r="AG62" s="215"/>
      <c r="AH62" s="215"/>
      <c r="AI62" s="215"/>
      <c r="AJ62" s="215"/>
      <c r="AK62" s="215"/>
      <c r="AL62" s="215"/>
      <c r="AM62" s="215"/>
      <c r="AN62" s="215"/>
      <c r="AO62" s="215"/>
      <c r="AP62" s="215"/>
      <c r="AQ62" s="215"/>
      <c r="AR62" s="215"/>
      <c r="AS62" s="215"/>
      <c r="AT62" s="215"/>
      <c r="AU62" s="215"/>
      <c r="AV62" s="215"/>
      <c r="AW62" s="215"/>
      <c r="AX62" s="215"/>
      <c r="AY62" s="215"/>
      <c r="AZ62" s="215"/>
      <c r="BA62" s="215"/>
      <c r="BB62" s="215"/>
      <c r="BC62" s="215"/>
      <c r="BD62" s="215"/>
      <c r="BE62" s="215"/>
      <c r="BF62" s="216"/>
      <c r="BG62" s="26"/>
      <c r="BH62" s="25"/>
    </row>
    <row r="63" spans="1:60" ht="14.25" customHeight="1" x14ac:dyDescent="0.25">
      <c r="A63" s="39"/>
      <c r="B63" s="39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16"/>
      <c r="AQ63" s="16"/>
      <c r="AR63" s="16"/>
      <c r="AS63" s="16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39"/>
      <c r="BH63" s="39"/>
    </row>
    <row r="64" spans="1:60" ht="14.25" customHeight="1" x14ac:dyDescent="0.25">
      <c r="A64" s="39"/>
      <c r="B64" s="39"/>
      <c r="C64" s="160" t="s">
        <v>55</v>
      </c>
      <c r="D64" s="160"/>
      <c r="E64" s="160"/>
      <c r="F64" s="160"/>
      <c r="G64" s="160"/>
      <c r="H64" s="180"/>
      <c r="I64" s="200"/>
      <c r="J64" s="200"/>
      <c r="K64" s="200"/>
      <c r="L64" s="200"/>
      <c r="M64" s="200"/>
      <c r="N64" s="200"/>
      <c r="O64" s="200"/>
      <c r="P64" s="218"/>
      <c r="Q64" s="94"/>
      <c r="R64" s="212"/>
      <c r="S64" s="212"/>
      <c r="T64" s="212"/>
      <c r="U64" s="212"/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  <c r="AU64" s="212"/>
      <c r="AV64" s="212"/>
      <c r="AW64" s="212"/>
      <c r="AX64" s="212"/>
      <c r="AY64" s="212"/>
      <c r="AZ64" s="212"/>
      <c r="BA64" s="212"/>
      <c r="BB64" s="212"/>
      <c r="BC64" s="212"/>
      <c r="BD64" s="212"/>
      <c r="BE64" s="212"/>
      <c r="BF64" s="213"/>
      <c r="BG64" s="25"/>
      <c r="BH64" s="25"/>
    </row>
    <row r="65" spans="1:60" ht="14.25" customHeight="1" x14ac:dyDescent="0.25">
      <c r="A65" s="39"/>
      <c r="B65" s="39"/>
      <c r="C65" s="160"/>
      <c r="D65" s="160"/>
      <c r="E65" s="160"/>
      <c r="F65" s="160"/>
      <c r="G65" s="160"/>
      <c r="H65" s="180"/>
      <c r="I65" s="200"/>
      <c r="J65" s="200"/>
      <c r="K65" s="200"/>
      <c r="L65" s="200"/>
      <c r="M65" s="200"/>
      <c r="N65" s="200"/>
      <c r="O65" s="200"/>
      <c r="P65" s="218"/>
      <c r="Q65" s="214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  <c r="AP65" s="215"/>
      <c r="AQ65" s="215"/>
      <c r="AR65" s="215"/>
      <c r="AS65" s="215"/>
      <c r="AT65" s="215"/>
      <c r="AU65" s="215"/>
      <c r="AV65" s="215"/>
      <c r="AW65" s="215"/>
      <c r="AX65" s="215"/>
      <c r="AY65" s="215"/>
      <c r="AZ65" s="215"/>
      <c r="BA65" s="215"/>
      <c r="BB65" s="215"/>
      <c r="BC65" s="215"/>
      <c r="BD65" s="215"/>
      <c r="BE65" s="215"/>
      <c r="BF65" s="216"/>
      <c r="BG65" s="25"/>
      <c r="BH65" s="25"/>
    </row>
    <row r="66" spans="1:60" ht="14.25" customHeight="1" x14ac:dyDescent="0.25">
      <c r="A66" s="39"/>
      <c r="B66" s="39"/>
      <c r="C66" s="210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  <c r="AO66" s="217"/>
      <c r="AP66" s="217"/>
      <c r="AQ66" s="217"/>
      <c r="AR66" s="217"/>
      <c r="AS66" s="217"/>
      <c r="AT66" s="217"/>
      <c r="AU66" s="217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39"/>
      <c r="BH66" s="39"/>
    </row>
    <row r="67" spans="1:60" ht="14.25" customHeight="1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</row>
    <row r="68" spans="1:60" ht="14.25" customHeight="1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</row>
    <row r="69" spans="1:60" ht="14.25" customHeight="1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</row>
    <row r="70" spans="1:60" ht="14.25" customHeight="1" x14ac:dyDescent="0.25">
      <c r="A70" s="39"/>
      <c r="B70" s="39"/>
      <c r="C70" s="160" t="s">
        <v>56</v>
      </c>
      <c r="D70" s="160"/>
      <c r="E70" s="160"/>
      <c r="F70" s="160"/>
      <c r="G70" s="160"/>
      <c r="H70" s="175"/>
      <c r="I70" s="169"/>
      <c r="J70" s="170"/>
      <c r="K70" s="170"/>
      <c r="L70" s="170"/>
      <c r="M70" s="170"/>
      <c r="N70" s="170"/>
      <c r="O70" s="170"/>
      <c r="P70" s="170"/>
      <c r="Q70" s="170"/>
      <c r="R70" s="170"/>
      <c r="S70" s="170"/>
      <c r="T70" s="170"/>
      <c r="U70" s="170"/>
      <c r="V70" s="170"/>
      <c r="W70" s="170"/>
      <c r="X70" s="170"/>
      <c r="Y70" s="170"/>
      <c r="Z70" s="170"/>
      <c r="AA70" s="170"/>
      <c r="AB70" s="170"/>
      <c r="AC70" s="171"/>
      <c r="AD70" s="39"/>
      <c r="AE70" s="160" t="s">
        <v>57</v>
      </c>
      <c r="AF70" s="200"/>
      <c r="AG70" s="200"/>
      <c r="AH70" s="200"/>
      <c r="AI70" s="200"/>
      <c r="AJ70" s="200"/>
      <c r="AK70" s="218"/>
      <c r="AL70" s="94"/>
      <c r="AM70" s="95"/>
      <c r="AN70" s="95"/>
      <c r="AO70" s="95"/>
      <c r="AP70" s="96"/>
      <c r="AQ70" s="229" t="s">
        <v>58</v>
      </c>
      <c r="AR70" s="200"/>
      <c r="AS70" s="200"/>
      <c r="AT70" s="200"/>
      <c r="AU70" s="200"/>
      <c r="AV70" s="218"/>
      <c r="AW70" s="169"/>
      <c r="AX70" s="170"/>
      <c r="AY70" s="170"/>
      <c r="AZ70" s="170"/>
      <c r="BA70" s="170"/>
      <c r="BB70" s="170"/>
      <c r="BC70" s="170"/>
      <c r="BD70" s="170"/>
      <c r="BE70" s="170"/>
      <c r="BF70" s="171"/>
      <c r="BG70" s="39"/>
      <c r="BH70" s="39"/>
    </row>
    <row r="71" spans="1:60" ht="14.25" customHeight="1" x14ac:dyDescent="0.25">
      <c r="A71" s="39"/>
      <c r="B71" s="39"/>
      <c r="C71" s="160"/>
      <c r="D71" s="160"/>
      <c r="E71" s="160"/>
      <c r="F71" s="160"/>
      <c r="G71" s="160"/>
      <c r="H71" s="175"/>
      <c r="I71" s="172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4"/>
      <c r="AD71" s="39"/>
      <c r="AE71" s="200"/>
      <c r="AF71" s="200"/>
      <c r="AG71" s="200"/>
      <c r="AH71" s="200"/>
      <c r="AI71" s="200"/>
      <c r="AJ71" s="200"/>
      <c r="AK71" s="218"/>
      <c r="AL71" s="97"/>
      <c r="AM71" s="98"/>
      <c r="AN71" s="98"/>
      <c r="AO71" s="98"/>
      <c r="AP71" s="99"/>
      <c r="AQ71" s="233"/>
      <c r="AR71" s="200"/>
      <c r="AS71" s="200"/>
      <c r="AT71" s="200"/>
      <c r="AU71" s="200"/>
      <c r="AV71" s="218"/>
      <c r="AW71" s="172"/>
      <c r="AX71" s="173"/>
      <c r="AY71" s="173"/>
      <c r="AZ71" s="173"/>
      <c r="BA71" s="173"/>
      <c r="BB71" s="173"/>
      <c r="BC71" s="173"/>
      <c r="BD71" s="173"/>
      <c r="BE71" s="173"/>
      <c r="BF71" s="174"/>
      <c r="BG71" s="39"/>
      <c r="BH71" s="39"/>
    </row>
    <row r="72" spans="1:60" ht="14.25" customHeight="1" x14ac:dyDescent="0.25">
      <c r="A72" s="39"/>
      <c r="B72" s="39"/>
      <c r="C72" s="38"/>
      <c r="D72" s="38"/>
      <c r="E72" s="38"/>
      <c r="F72" s="38"/>
      <c r="G72" s="38"/>
      <c r="H72" s="38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</row>
    <row r="73" spans="1:60" ht="14.25" customHeight="1" x14ac:dyDescent="0.25">
      <c r="A73" s="39"/>
      <c r="B73" s="39"/>
      <c r="C73" s="160" t="s">
        <v>59</v>
      </c>
      <c r="D73" s="160"/>
      <c r="E73" s="160"/>
      <c r="F73" s="160"/>
      <c r="G73" s="160"/>
      <c r="H73" s="39"/>
      <c r="I73" s="169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70"/>
      <c r="AA73" s="170"/>
      <c r="AB73" s="170"/>
      <c r="AC73" s="171"/>
      <c r="AD73" s="39"/>
      <c r="AE73" s="160" t="s">
        <v>60</v>
      </c>
      <c r="AF73" s="200"/>
      <c r="AG73" s="200"/>
      <c r="AH73" s="200"/>
      <c r="AI73" s="200"/>
      <c r="AJ73" s="200"/>
      <c r="AK73" s="218"/>
      <c r="AL73" s="169"/>
      <c r="AM73" s="170"/>
      <c r="AN73" s="170"/>
      <c r="AO73" s="170"/>
      <c r="AP73" s="170"/>
      <c r="AQ73" s="170"/>
      <c r="AR73" s="170"/>
      <c r="AS73" s="170"/>
      <c r="AT73" s="170"/>
      <c r="AU73" s="170"/>
      <c r="AV73" s="170"/>
      <c r="AW73" s="170"/>
      <c r="AX73" s="170"/>
      <c r="AY73" s="170"/>
      <c r="AZ73" s="170"/>
      <c r="BA73" s="170"/>
      <c r="BB73" s="170"/>
      <c r="BC73" s="170"/>
      <c r="BD73" s="170"/>
      <c r="BE73" s="170"/>
      <c r="BF73" s="171"/>
      <c r="BG73" s="39"/>
      <c r="BH73" s="39"/>
    </row>
    <row r="74" spans="1:60" ht="14.25" customHeight="1" x14ac:dyDescent="0.25">
      <c r="A74" s="39"/>
      <c r="B74" s="39"/>
      <c r="C74" s="160"/>
      <c r="D74" s="160"/>
      <c r="E74" s="160"/>
      <c r="F74" s="160"/>
      <c r="G74" s="160"/>
      <c r="H74" s="39"/>
      <c r="I74" s="172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4"/>
      <c r="AD74" s="39"/>
      <c r="AE74" s="200"/>
      <c r="AF74" s="200"/>
      <c r="AG74" s="200"/>
      <c r="AH74" s="200"/>
      <c r="AI74" s="200"/>
      <c r="AJ74" s="200"/>
      <c r="AK74" s="218"/>
      <c r="AL74" s="172"/>
      <c r="AM74" s="173"/>
      <c r="AN74" s="173"/>
      <c r="AO74" s="173"/>
      <c r="AP74" s="173"/>
      <c r="AQ74" s="173"/>
      <c r="AR74" s="173"/>
      <c r="AS74" s="173"/>
      <c r="AT74" s="173"/>
      <c r="AU74" s="173"/>
      <c r="AV74" s="173"/>
      <c r="AW74" s="173"/>
      <c r="AX74" s="173"/>
      <c r="AY74" s="173"/>
      <c r="AZ74" s="173"/>
      <c r="BA74" s="173"/>
      <c r="BB74" s="173"/>
      <c r="BC74" s="173"/>
      <c r="BD74" s="173"/>
      <c r="BE74" s="173"/>
      <c r="BF74" s="174"/>
      <c r="BG74" s="39"/>
      <c r="BH74" s="39"/>
    </row>
    <row r="75" spans="1:60" ht="14.25" customHeight="1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</row>
    <row r="76" spans="1:60" ht="14.25" customHeight="1" x14ac:dyDescent="0.25">
      <c r="A76" s="39"/>
      <c r="B76" s="39"/>
      <c r="C76" s="160" t="s">
        <v>61</v>
      </c>
      <c r="D76" s="160"/>
      <c r="E76" s="160"/>
      <c r="F76" s="160"/>
      <c r="G76" s="160"/>
      <c r="H76" s="39"/>
      <c r="I76" s="169"/>
      <c r="J76" s="170"/>
      <c r="K76" s="170"/>
      <c r="L76" s="170"/>
      <c r="M76" s="170"/>
      <c r="N76" s="170"/>
      <c r="O76" s="170"/>
      <c r="P76" s="170"/>
      <c r="Q76" s="170"/>
      <c r="R76" s="170"/>
      <c r="S76" s="170"/>
      <c r="T76" s="170"/>
      <c r="U76" s="170"/>
      <c r="V76" s="170"/>
      <c r="W76" s="170"/>
      <c r="X76" s="170"/>
      <c r="Y76" s="170"/>
      <c r="Z76" s="170"/>
      <c r="AA76" s="170"/>
      <c r="AB76" s="170"/>
      <c r="AC76" s="171"/>
      <c r="AD76" s="39"/>
      <c r="AE76" s="239" t="s">
        <v>62</v>
      </c>
      <c r="AF76" s="239"/>
      <c r="AG76" s="239"/>
      <c r="AH76" s="239"/>
      <c r="AI76" s="239"/>
      <c r="AJ76" s="239"/>
      <c r="AK76" s="239"/>
      <c r="AL76" s="239"/>
      <c r="AM76" s="239"/>
      <c r="AN76" s="239"/>
      <c r="AO76" s="239"/>
      <c r="AP76" s="239"/>
      <c r="AQ76" s="239"/>
      <c r="AR76" s="239"/>
      <c r="AS76" s="239"/>
      <c r="AT76" s="94" t="s">
        <v>46</v>
      </c>
      <c r="AU76" s="95"/>
      <c r="AV76" s="95"/>
      <c r="AW76" s="96"/>
      <c r="AX76" s="36"/>
      <c r="AY76" s="162" t="s">
        <v>260</v>
      </c>
      <c r="AZ76" s="162"/>
      <c r="BA76" s="240"/>
      <c r="BB76" s="115"/>
      <c r="BC76" s="116"/>
      <c r="BD76" s="116"/>
      <c r="BE76" s="116"/>
      <c r="BF76" s="117"/>
      <c r="BG76" s="39"/>
      <c r="BH76" s="39"/>
    </row>
    <row r="77" spans="1:60" ht="14.25" customHeight="1" x14ac:dyDescent="0.25">
      <c r="A77" s="39"/>
      <c r="B77" s="39"/>
      <c r="C77" s="160"/>
      <c r="D77" s="160"/>
      <c r="E77" s="160"/>
      <c r="F77" s="160"/>
      <c r="G77" s="160"/>
      <c r="H77" s="39"/>
      <c r="I77" s="172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4"/>
      <c r="AD77" s="39"/>
      <c r="AE77" s="239"/>
      <c r="AF77" s="239"/>
      <c r="AG77" s="239"/>
      <c r="AH77" s="239"/>
      <c r="AI77" s="239"/>
      <c r="AJ77" s="239"/>
      <c r="AK77" s="239"/>
      <c r="AL77" s="239"/>
      <c r="AM77" s="239"/>
      <c r="AN77" s="239"/>
      <c r="AO77" s="239"/>
      <c r="AP77" s="239"/>
      <c r="AQ77" s="239"/>
      <c r="AR77" s="239"/>
      <c r="AS77" s="239"/>
      <c r="AT77" s="97"/>
      <c r="AU77" s="98"/>
      <c r="AV77" s="98"/>
      <c r="AW77" s="99"/>
      <c r="AX77" s="36"/>
      <c r="AY77" s="162"/>
      <c r="AZ77" s="162"/>
      <c r="BA77" s="240"/>
      <c r="BB77" s="118"/>
      <c r="BC77" s="119"/>
      <c r="BD77" s="119"/>
      <c r="BE77" s="119"/>
      <c r="BF77" s="120"/>
      <c r="BG77" s="39"/>
      <c r="BH77" s="39"/>
    </row>
    <row r="78" spans="1:60" ht="14.25" customHeigh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</row>
    <row r="79" spans="1:60" ht="14.25" customHeight="1" x14ac:dyDescent="0.25">
      <c r="A79" s="39"/>
      <c r="B79" s="39"/>
      <c r="C79" s="143" t="s">
        <v>272</v>
      </c>
      <c r="D79" s="143"/>
      <c r="E79" s="143"/>
      <c r="F79" s="143"/>
      <c r="G79" s="143"/>
      <c r="H79" s="39"/>
      <c r="I79" s="100" t="s">
        <v>31</v>
      </c>
      <c r="J79" s="101"/>
      <c r="K79" s="101"/>
      <c r="L79" s="101"/>
      <c r="M79" s="101"/>
      <c r="N79" s="101"/>
      <c r="O79" s="101"/>
      <c r="P79" s="101"/>
      <c r="Q79" s="241"/>
      <c r="R79" s="241"/>
      <c r="S79" s="241"/>
      <c r="T79" s="241"/>
      <c r="U79" s="241"/>
      <c r="V79" s="242"/>
      <c r="W79" s="146" t="s">
        <v>273</v>
      </c>
      <c r="X79" s="146"/>
      <c r="Y79" s="146"/>
      <c r="Z79" s="218"/>
      <c r="AA79" s="115"/>
      <c r="AB79" s="212"/>
      <c r="AC79" s="212"/>
      <c r="AD79" s="213"/>
      <c r="AE79" s="146" t="s">
        <v>274</v>
      </c>
      <c r="AF79" s="200"/>
      <c r="AG79" s="200"/>
      <c r="AH79" s="200"/>
      <c r="AI79" s="218"/>
      <c r="AJ79" s="115"/>
      <c r="AK79" s="133"/>
      <c r="AL79" s="133"/>
      <c r="AM79" s="133"/>
      <c r="AN79" s="133"/>
      <c r="AO79" s="133"/>
      <c r="AP79" s="133"/>
      <c r="AQ79" s="134"/>
      <c r="AR79" s="19"/>
      <c r="AS79" s="221" t="s">
        <v>275</v>
      </c>
      <c r="AT79" s="221"/>
      <c r="AU79" s="221"/>
      <c r="AV79" s="221"/>
      <c r="AW79" s="221"/>
      <c r="AX79" s="167"/>
      <c r="AY79" s="94"/>
      <c r="AZ79" s="95"/>
      <c r="BA79" s="95"/>
      <c r="BB79" s="95"/>
      <c r="BC79" s="95"/>
      <c r="BD79" s="95"/>
      <c r="BE79" s="95"/>
      <c r="BF79" s="96"/>
      <c r="BG79" s="39"/>
      <c r="BH79" s="39"/>
    </row>
    <row r="80" spans="1:60" ht="14.25" customHeight="1" x14ac:dyDescent="0.25">
      <c r="A80" s="39"/>
      <c r="B80" s="39"/>
      <c r="C80" s="143"/>
      <c r="D80" s="143"/>
      <c r="E80" s="143"/>
      <c r="F80" s="143"/>
      <c r="G80" s="143"/>
      <c r="H80" s="39"/>
      <c r="I80" s="103"/>
      <c r="J80" s="104"/>
      <c r="K80" s="104"/>
      <c r="L80" s="104"/>
      <c r="M80" s="104"/>
      <c r="N80" s="104"/>
      <c r="O80" s="104"/>
      <c r="P80" s="104"/>
      <c r="Q80" s="243"/>
      <c r="R80" s="243"/>
      <c r="S80" s="243"/>
      <c r="T80" s="243"/>
      <c r="U80" s="243"/>
      <c r="V80" s="244"/>
      <c r="W80" s="146"/>
      <c r="X80" s="146"/>
      <c r="Y80" s="146"/>
      <c r="Z80" s="218"/>
      <c r="AA80" s="214"/>
      <c r="AB80" s="215"/>
      <c r="AC80" s="215"/>
      <c r="AD80" s="216"/>
      <c r="AE80" s="200"/>
      <c r="AF80" s="200"/>
      <c r="AG80" s="200"/>
      <c r="AH80" s="200"/>
      <c r="AI80" s="218"/>
      <c r="AJ80" s="135"/>
      <c r="AK80" s="136"/>
      <c r="AL80" s="136"/>
      <c r="AM80" s="136"/>
      <c r="AN80" s="136"/>
      <c r="AO80" s="136"/>
      <c r="AP80" s="136"/>
      <c r="AQ80" s="137"/>
      <c r="AR80" s="19"/>
      <c r="AS80" s="221"/>
      <c r="AT80" s="221"/>
      <c r="AU80" s="221"/>
      <c r="AV80" s="221"/>
      <c r="AW80" s="221"/>
      <c r="AX80" s="167"/>
      <c r="AY80" s="97"/>
      <c r="AZ80" s="98"/>
      <c r="BA80" s="98"/>
      <c r="BB80" s="98"/>
      <c r="BC80" s="98"/>
      <c r="BD80" s="98"/>
      <c r="BE80" s="98"/>
      <c r="BF80" s="99"/>
      <c r="BG80" s="39"/>
      <c r="BH80" s="39"/>
    </row>
    <row r="81" spans="1:60" ht="14.25" customHeight="1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</row>
    <row r="82" spans="1:60" ht="14.25" customHeight="1" x14ac:dyDescent="0.25">
      <c r="A82" s="39"/>
      <c r="B82" s="39"/>
      <c r="C82" s="143" t="s">
        <v>276</v>
      </c>
      <c r="D82" s="143"/>
      <c r="E82" s="143"/>
      <c r="F82" s="143"/>
      <c r="G82" s="143"/>
      <c r="H82" s="218"/>
      <c r="I82" s="115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7"/>
      <c r="AP82" s="145" t="s">
        <v>277</v>
      </c>
      <c r="AQ82" s="200"/>
      <c r="AR82" s="200"/>
      <c r="AS82" s="200"/>
      <c r="AT82" s="200"/>
      <c r="AU82" s="200"/>
      <c r="AV82" s="200"/>
      <c r="AW82" s="200"/>
      <c r="AX82" s="218"/>
      <c r="AY82" s="115"/>
      <c r="AZ82" s="116"/>
      <c r="BA82" s="116"/>
      <c r="BB82" s="116"/>
      <c r="BC82" s="116"/>
      <c r="BD82" s="116"/>
      <c r="BE82" s="116"/>
      <c r="BF82" s="117"/>
      <c r="BG82" s="39"/>
      <c r="BH82" s="39"/>
    </row>
    <row r="83" spans="1:60" ht="14.25" customHeight="1" x14ac:dyDescent="0.25">
      <c r="A83" s="39"/>
      <c r="B83" s="39"/>
      <c r="C83" s="143"/>
      <c r="D83" s="143"/>
      <c r="E83" s="143"/>
      <c r="F83" s="143"/>
      <c r="G83" s="143"/>
      <c r="H83" s="218"/>
      <c r="I83" s="118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  <c r="AA83" s="119"/>
      <c r="AB83" s="119"/>
      <c r="AC83" s="119"/>
      <c r="AD83" s="119"/>
      <c r="AE83" s="119"/>
      <c r="AF83" s="119"/>
      <c r="AG83" s="119"/>
      <c r="AH83" s="119"/>
      <c r="AI83" s="119"/>
      <c r="AJ83" s="119"/>
      <c r="AK83" s="119"/>
      <c r="AL83" s="119"/>
      <c r="AM83" s="119"/>
      <c r="AN83" s="119"/>
      <c r="AO83" s="120"/>
      <c r="AP83" s="233"/>
      <c r="AQ83" s="200"/>
      <c r="AR83" s="200"/>
      <c r="AS83" s="200"/>
      <c r="AT83" s="200"/>
      <c r="AU83" s="200"/>
      <c r="AV83" s="200"/>
      <c r="AW83" s="200"/>
      <c r="AX83" s="218"/>
      <c r="AY83" s="118"/>
      <c r="AZ83" s="119"/>
      <c r="BA83" s="119"/>
      <c r="BB83" s="119"/>
      <c r="BC83" s="119"/>
      <c r="BD83" s="119"/>
      <c r="BE83" s="119"/>
      <c r="BF83" s="120"/>
      <c r="BG83" s="39"/>
      <c r="BH83" s="39"/>
    </row>
    <row r="84" spans="1:60" ht="14.25" customHeight="1" x14ac:dyDescent="0.25">
      <c r="A84" s="39"/>
      <c r="B84" s="39"/>
      <c r="C84" s="234" t="s">
        <v>38</v>
      </c>
      <c r="D84" s="234"/>
      <c r="E84" s="234"/>
      <c r="F84" s="234"/>
      <c r="G84" s="234"/>
      <c r="H84" s="234"/>
      <c r="I84" s="234"/>
      <c r="J84" s="234"/>
      <c r="K84" s="234"/>
      <c r="L84" s="234"/>
      <c r="M84" s="234"/>
      <c r="N84" s="234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39"/>
      <c r="AQ84" s="41"/>
      <c r="AR84" s="41"/>
      <c r="AS84" s="41"/>
      <c r="AT84" s="41"/>
      <c r="AU84" s="41"/>
      <c r="AV84" s="41"/>
      <c r="AW84" s="41"/>
      <c r="AX84" s="13"/>
      <c r="AY84" s="22"/>
      <c r="AZ84" s="22"/>
      <c r="BA84" s="22"/>
      <c r="BB84" s="22"/>
      <c r="BC84" s="22"/>
      <c r="BD84" s="22"/>
      <c r="BE84" s="22"/>
      <c r="BF84" s="22"/>
      <c r="BG84" s="39"/>
      <c r="BH84" s="39"/>
    </row>
    <row r="85" spans="1:60" ht="14.25" customHeight="1" x14ac:dyDescent="0.25">
      <c r="A85" s="39"/>
      <c r="B85" s="39"/>
      <c r="C85" s="234"/>
      <c r="D85" s="234"/>
      <c r="E85" s="234"/>
      <c r="F85" s="234"/>
      <c r="G85" s="234"/>
      <c r="H85" s="234"/>
      <c r="I85" s="234"/>
      <c r="J85" s="234"/>
      <c r="K85" s="234"/>
      <c r="L85" s="234"/>
      <c r="M85" s="234"/>
      <c r="N85" s="234"/>
      <c r="O85" s="43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235" t="s">
        <v>279</v>
      </c>
      <c r="AF85" s="236"/>
      <c r="AG85" s="236"/>
      <c r="AH85" s="236"/>
      <c r="AI85" s="236"/>
      <c r="AJ85" s="236"/>
      <c r="AK85" s="236"/>
      <c r="AL85" s="236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</row>
    <row r="86" spans="1:60" ht="14.25" customHeight="1" x14ac:dyDescent="0.25">
      <c r="A86" s="39"/>
      <c r="B86" s="39"/>
      <c r="C86" s="237" t="s">
        <v>278</v>
      </c>
      <c r="D86" s="237"/>
      <c r="E86" s="237"/>
      <c r="F86" s="237"/>
      <c r="G86" s="237"/>
      <c r="H86" s="237"/>
      <c r="I86" s="237"/>
      <c r="J86" s="237"/>
      <c r="K86" s="238"/>
      <c r="L86" s="115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7"/>
      <c r="AD86" s="39"/>
      <c r="AE86" s="236"/>
      <c r="AF86" s="236"/>
      <c r="AG86" s="236"/>
      <c r="AH86" s="236"/>
      <c r="AI86" s="236"/>
      <c r="AJ86" s="236"/>
      <c r="AK86" s="236"/>
      <c r="AL86" s="236"/>
      <c r="AM86" s="115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7"/>
      <c r="BG86" s="39"/>
      <c r="BH86" s="39"/>
    </row>
    <row r="87" spans="1:60" ht="14.25" customHeight="1" x14ac:dyDescent="0.25">
      <c r="A87" s="39"/>
      <c r="B87" s="39"/>
      <c r="C87" s="237"/>
      <c r="D87" s="237"/>
      <c r="E87" s="237"/>
      <c r="F87" s="237"/>
      <c r="G87" s="237"/>
      <c r="H87" s="237"/>
      <c r="I87" s="237"/>
      <c r="J87" s="237"/>
      <c r="K87" s="238"/>
      <c r="L87" s="118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  <c r="AA87" s="119"/>
      <c r="AB87" s="119"/>
      <c r="AC87" s="120"/>
      <c r="AD87" s="39"/>
      <c r="AE87" s="236"/>
      <c r="AF87" s="236"/>
      <c r="AG87" s="236"/>
      <c r="AH87" s="236"/>
      <c r="AI87" s="236"/>
      <c r="AJ87" s="236"/>
      <c r="AK87" s="236"/>
      <c r="AL87" s="236"/>
      <c r="AM87" s="118"/>
      <c r="AN87" s="119"/>
      <c r="AO87" s="119"/>
      <c r="AP87" s="119"/>
      <c r="AQ87" s="119"/>
      <c r="AR87" s="119"/>
      <c r="AS87" s="119"/>
      <c r="AT87" s="119"/>
      <c r="AU87" s="119"/>
      <c r="AV87" s="119"/>
      <c r="AW87" s="119"/>
      <c r="AX87" s="119"/>
      <c r="AY87" s="119"/>
      <c r="AZ87" s="119"/>
      <c r="BA87" s="119"/>
      <c r="BB87" s="119"/>
      <c r="BC87" s="119"/>
      <c r="BD87" s="119"/>
      <c r="BE87" s="119"/>
      <c r="BF87" s="120"/>
      <c r="BG87" s="39"/>
      <c r="BH87" s="39"/>
    </row>
    <row r="88" spans="1:60" ht="14.25" customHeight="1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226" t="s">
        <v>282</v>
      </c>
      <c r="AP88" s="227"/>
      <c r="AQ88" s="227"/>
      <c r="AR88" s="227"/>
      <c r="AS88" s="227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</row>
    <row r="89" spans="1:60" ht="14.25" customHeight="1" x14ac:dyDescent="0.25">
      <c r="A89" s="39"/>
      <c r="B89" s="39"/>
      <c r="C89" s="143" t="s">
        <v>280</v>
      </c>
      <c r="D89" s="143"/>
      <c r="E89" s="143"/>
      <c r="F89" s="200"/>
      <c r="G89" s="39"/>
      <c r="H89" s="39"/>
      <c r="I89" s="115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7"/>
      <c r="AD89" s="39"/>
      <c r="AE89" s="39"/>
      <c r="AF89" s="39"/>
      <c r="AG89" s="143" t="s">
        <v>281</v>
      </c>
      <c r="AH89" s="200"/>
      <c r="AI89" s="200"/>
      <c r="AJ89" s="218"/>
      <c r="AK89" s="122"/>
      <c r="AL89" s="123"/>
      <c r="AM89" s="123"/>
      <c r="AN89" s="124"/>
      <c r="AO89" s="228"/>
      <c r="AP89" s="228"/>
      <c r="AQ89" s="228"/>
      <c r="AR89" s="228"/>
      <c r="AS89" s="228"/>
      <c r="AT89" s="122"/>
      <c r="AU89" s="123"/>
      <c r="AV89" s="123"/>
      <c r="AW89" s="124"/>
      <c r="AX89" s="229" t="s">
        <v>283</v>
      </c>
      <c r="AY89" s="230"/>
      <c r="AZ89" s="230"/>
      <c r="BA89" s="230"/>
      <c r="BB89" s="231"/>
      <c r="BC89" s="122"/>
      <c r="BD89" s="123"/>
      <c r="BE89" s="123"/>
      <c r="BF89" s="124"/>
      <c r="BG89" s="39"/>
      <c r="BH89" s="39"/>
    </row>
    <row r="90" spans="1:60" ht="14.25" customHeight="1" x14ac:dyDescent="0.25">
      <c r="A90" s="39"/>
      <c r="B90" s="39"/>
      <c r="C90" s="143"/>
      <c r="D90" s="143"/>
      <c r="E90" s="143"/>
      <c r="F90" s="200"/>
      <c r="G90" s="39"/>
      <c r="H90" s="39"/>
      <c r="I90" s="118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20"/>
      <c r="AD90" s="39"/>
      <c r="AE90" s="39"/>
      <c r="AF90" s="39"/>
      <c r="AG90" s="200"/>
      <c r="AH90" s="200"/>
      <c r="AI90" s="200"/>
      <c r="AJ90" s="218"/>
      <c r="AK90" s="125"/>
      <c r="AL90" s="126"/>
      <c r="AM90" s="126"/>
      <c r="AN90" s="127"/>
      <c r="AO90" s="228"/>
      <c r="AP90" s="228"/>
      <c r="AQ90" s="228"/>
      <c r="AR90" s="228"/>
      <c r="AS90" s="228"/>
      <c r="AT90" s="125"/>
      <c r="AU90" s="126"/>
      <c r="AV90" s="126"/>
      <c r="AW90" s="127"/>
      <c r="AX90" s="232"/>
      <c r="AY90" s="230"/>
      <c r="AZ90" s="230"/>
      <c r="BA90" s="230"/>
      <c r="BB90" s="231"/>
      <c r="BC90" s="125"/>
      <c r="BD90" s="126"/>
      <c r="BE90" s="126"/>
      <c r="BF90" s="127"/>
      <c r="BG90" s="39"/>
      <c r="BH90" s="39"/>
    </row>
    <row r="91" spans="1:60" ht="12.75" customHeight="1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</row>
    <row r="92" spans="1:60" ht="14.25" customHeight="1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</row>
    <row r="93" spans="1:60" ht="14.25" customHeight="1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</row>
    <row r="94" spans="1:60" ht="14.25" customHeight="1" x14ac:dyDescent="0.25">
      <c r="A94" s="39"/>
      <c r="B94" s="39"/>
      <c r="C94" s="39"/>
      <c r="D94" s="39"/>
      <c r="E94" s="39"/>
      <c r="F94" s="39"/>
      <c r="G94" s="37" t="s">
        <v>18</v>
      </c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23" t="s">
        <v>19</v>
      </c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23" t="s">
        <v>20</v>
      </c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23" t="s">
        <v>21</v>
      </c>
      <c r="BA94" s="39"/>
      <c r="BB94" s="39"/>
      <c r="BC94" s="39"/>
      <c r="BD94" s="39"/>
      <c r="BE94" s="39"/>
      <c r="BF94" s="39"/>
      <c r="BG94" s="39"/>
      <c r="BH94" s="39"/>
    </row>
    <row r="95" spans="1:60" ht="14.25" customHeight="1" x14ac:dyDescent="0.25">
      <c r="A95" s="39"/>
      <c r="B95" s="39"/>
      <c r="C95" s="39"/>
      <c r="D95" s="39"/>
      <c r="E95" s="39"/>
      <c r="F95" s="39"/>
      <c r="G95" s="39"/>
      <c r="H95" s="39"/>
      <c r="I95" s="8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8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8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8"/>
      <c r="BA95" s="39"/>
      <c r="BB95" s="39"/>
      <c r="BC95" s="39"/>
      <c r="BD95" s="39"/>
      <c r="BE95" s="39"/>
      <c r="BF95" s="39"/>
      <c r="BG95" s="39"/>
      <c r="BH95" s="39"/>
    </row>
    <row r="96" spans="1:60" ht="14.25" customHeight="1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40" t="s">
        <v>22</v>
      </c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</row>
    <row r="97" spans="1:60" ht="14.25" customHeight="1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</row>
    <row r="98" spans="1:60" ht="14.25" customHeight="1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</row>
    <row r="99" spans="1:60" ht="14.25" customHeight="1" x14ac:dyDescent="0.25">
      <c r="A99" s="39"/>
      <c r="B99" s="39"/>
      <c r="C99" s="160" t="s">
        <v>63</v>
      </c>
      <c r="D99" s="160"/>
      <c r="E99" s="160"/>
      <c r="F99" s="160"/>
      <c r="G99" s="160"/>
      <c r="H99" s="160"/>
      <c r="I99" s="160"/>
      <c r="J99" s="160"/>
      <c r="K99" s="160"/>
      <c r="L99" s="160"/>
      <c r="M99" s="160"/>
      <c r="N99" s="180"/>
      <c r="O99" s="218"/>
      <c r="P99" s="115"/>
      <c r="Q99" s="212"/>
      <c r="R99" s="212"/>
      <c r="S99" s="212"/>
      <c r="T99" s="213"/>
      <c r="U99" s="9"/>
      <c r="V99" s="146" t="s">
        <v>64</v>
      </c>
      <c r="W99" s="146"/>
      <c r="X99" s="146"/>
      <c r="Y99" s="146"/>
      <c r="Z99" s="146"/>
      <c r="AA99" s="146"/>
      <c r="AB99" s="146"/>
      <c r="AC99" s="220"/>
      <c r="AD99" s="115"/>
      <c r="AE99" s="116"/>
      <c r="AF99" s="116"/>
      <c r="AG99" s="116"/>
      <c r="AH99" s="116"/>
      <c r="AI99" s="116"/>
      <c r="AJ99" s="116"/>
      <c r="AK99" s="117"/>
      <c r="AL99" s="39"/>
      <c r="AM99" s="39"/>
      <c r="AN99" s="39"/>
      <c r="AO99" s="39"/>
      <c r="AP99" s="39"/>
      <c r="AQ99" s="39"/>
      <c r="AR99" s="221" t="s">
        <v>65</v>
      </c>
      <c r="AS99" s="221"/>
      <c r="AT99" s="221"/>
      <c r="AU99" s="221"/>
      <c r="AV99" s="221"/>
      <c r="AW99" s="39"/>
      <c r="AX99" s="39"/>
      <c r="AY99" s="201"/>
      <c r="AZ99" s="202"/>
      <c r="BA99" s="202"/>
      <c r="BB99" s="202"/>
      <c r="BC99" s="202"/>
      <c r="BD99" s="202"/>
      <c r="BE99" s="202"/>
      <c r="BF99" s="203"/>
      <c r="BG99" s="39"/>
      <c r="BH99" s="39"/>
    </row>
    <row r="100" spans="1:60" ht="14.25" customHeight="1" x14ac:dyDescent="0.25">
      <c r="A100" s="39"/>
      <c r="B100" s="39"/>
      <c r="C100" s="160"/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  <c r="N100" s="180"/>
      <c r="O100" s="218"/>
      <c r="P100" s="214"/>
      <c r="Q100" s="215"/>
      <c r="R100" s="215"/>
      <c r="S100" s="215"/>
      <c r="T100" s="216"/>
      <c r="U100" s="10"/>
      <c r="V100" s="146"/>
      <c r="W100" s="146"/>
      <c r="X100" s="146"/>
      <c r="Y100" s="146"/>
      <c r="Z100" s="146"/>
      <c r="AA100" s="146"/>
      <c r="AB100" s="146"/>
      <c r="AC100" s="220"/>
      <c r="AD100" s="118"/>
      <c r="AE100" s="119"/>
      <c r="AF100" s="119"/>
      <c r="AG100" s="119"/>
      <c r="AH100" s="119"/>
      <c r="AI100" s="119"/>
      <c r="AJ100" s="119"/>
      <c r="AK100" s="120"/>
      <c r="AL100" s="10"/>
      <c r="AM100" s="10"/>
      <c r="AN100" s="10"/>
      <c r="AO100" s="10"/>
      <c r="AP100" s="10"/>
      <c r="AQ100" s="10"/>
      <c r="AR100" s="221"/>
      <c r="AS100" s="221"/>
      <c r="AT100" s="221"/>
      <c r="AU100" s="221"/>
      <c r="AV100" s="221"/>
      <c r="AW100" s="10"/>
      <c r="AX100" s="40"/>
      <c r="AY100" s="204"/>
      <c r="AZ100" s="205"/>
      <c r="BA100" s="205"/>
      <c r="BB100" s="205"/>
      <c r="BC100" s="205"/>
      <c r="BD100" s="205"/>
      <c r="BE100" s="205"/>
      <c r="BF100" s="206"/>
      <c r="BG100" s="39"/>
      <c r="BH100" s="39"/>
    </row>
    <row r="101" spans="1:60" ht="14.25" customHeight="1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40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</row>
    <row r="102" spans="1:60" ht="14.25" customHeight="1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</row>
    <row r="103" spans="1:60" ht="14.25" customHeight="1" x14ac:dyDescent="0.25">
      <c r="A103" s="39"/>
      <c r="B103" s="39"/>
      <c r="C103" s="143" t="s">
        <v>66</v>
      </c>
      <c r="D103" s="143"/>
      <c r="E103" s="143"/>
      <c r="F103" s="143"/>
      <c r="G103" s="211"/>
      <c r="H103" s="200"/>
      <c r="I103" s="218"/>
      <c r="J103" s="115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  <c r="U103" s="212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3"/>
      <c r="AO103" s="39"/>
      <c r="AP103" s="163" t="s">
        <v>67</v>
      </c>
      <c r="AQ103" s="163"/>
      <c r="AR103" s="163"/>
      <c r="AS103" s="163"/>
      <c r="AT103" s="163"/>
      <c r="AU103" s="163"/>
      <c r="AV103" s="163"/>
      <c r="AW103" s="200"/>
      <c r="AX103" s="218"/>
      <c r="AY103" s="115"/>
      <c r="AZ103" s="116"/>
      <c r="BA103" s="116"/>
      <c r="BB103" s="116"/>
      <c r="BC103" s="116"/>
      <c r="BD103" s="116"/>
      <c r="BE103" s="116"/>
      <c r="BF103" s="117"/>
      <c r="BG103" s="39"/>
      <c r="BH103" s="39"/>
    </row>
    <row r="104" spans="1:60" ht="14.25" customHeight="1" x14ac:dyDescent="0.25">
      <c r="A104" s="40"/>
      <c r="B104" s="40"/>
      <c r="C104" s="143"/>
      <c r="D104" s="143"/>
      <c r="E104" s="143"/>
      <c r="F104" s="143"/>
      <c r="G104" s="211"/>
      <c r="H104" s="200"/>
      <c r="I104" s="218"/>
      <c r="J104" s="214"/>
      <c r="K104" s="215"/>
      <c r="L104" s="215"/>
      <c r="M104" s="215"/>
      <c r="N104" s="215"/>
      <c r="O104" s="215"/>
      <c r="P104" s="215"/>
      <c r="Q104" s="215"/>
      <c r="R104" s="215"/>
      <c r="S104" s="215"/>
      <c r="T104" s="215"/>
      <c r="U104" s="215"/>
      <c r="V104" s="215"/>
      <c r="W104" s="215"/>
      <c r="X104" s="215"/>
      <c r="Y104" s="215"/>
      <c r="Z104" s="215"/>
      <c r="AA104" s="215"/>
      <c r="AB104" s="215"/>
      <c r="AC104" s="215"/>
      <c r="AD104" s="215"/>
      <c r="AE104" s="215"/>
      <c r="AF104" s="215"/>
      <c r="AG104" s="215"/>
      <c r="AH104" s="215"/>
      <c r="AI104" s="215"/>
      <c r="AJ104" s="215"/>
      <c r="AK104" s="215"/>
      <c r="AL104" s="215"/>
      <c r="AM104" s="215"/>
      <c r="AN104" s="216"/>
      <c r="AO104" s="39"/>
      <c r="AP104" s="163"/>
      <c r="AQ104" s="163"/>
      <c r="AR104" s="163"/>
      <c r="AS104" s="163"/>
      <c r="AT104" s="163"/>
      <c r="AU104" s="163"/>
      <c r="AV104" s="163"/>
      <c r="AW104" s="200"/>
      <c r="AX104" s="218"/>
      <c r="AY104" s="118"/>
      <c r="AZ104" s="119"/>
      <c r="BA104" s="119"/>
      <c r="BB104" s="119"/>
      <c r="BC104" s="119"/>
      <c r="BD104" s="119"/>
      <c r="BE104" s="119"/>
      <c r="BF104" s="120"/>
      <c r="BG104" s="40"/>
      <c r="BH104" s="40"/>
    </row>
    <row r="105" spans="1:60" ht="14.25" customHeight="1" x14ac:dyDescent="0.2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</row>
    <row r="106" spans="1:60" ht="14.25" customHeight="1" x14ac:dyDescent="0.25">
      <c r="A106" s="40"/>
      <c r="B106" s="40"/>
      <c r="C106" s="160" t="s">
        <v>68</v>
      </c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0"/>
      <c r="W106" s="180"/>
      <c r="X106" s="222"/>
      <c r="Y106" s="223"/>
      <c r="Z106" s="94"/>
      <c r="AA106" s="212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2"/>
      <c r="AP106" s="212"/>
      <c r="AQ106" s="212"/>
      <c r="AR106" s="212"/>
      <c r="AS106" s="212"/>
      <c r="AT106" s="212"/>
      <c r="AU106" s="212"/>
      <c r="AV106" s="212"/>
      <c r="AW106" s="212"/>
      <c r="AX106" s="212"/>
      <c r="AY106" s="212"/>
      <c r="AZ106" s="212"/>
      <c r="BA106" s="212"/>
      <c r="BB106" s="212"/>
      <c r="BC106" s="212"/>
      <c r="BD106" s="212"/>
      <c r="BE106" s="212"/>
      <c r="BF106" s="212"/>
      <c r="BG106" s="26"/>
      <c r="BH106" s="25"/>
    </row>
    <row r="107" spans="1:60" ht="14.25" customHeight="1" x14ac:dyDescent="0.25">
      <c r="A107" s="40"/>
      <c r="B107" s="40"/>
      <c r="C107" s="160"/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0"/>
      <c r="W107" s="180"/>
      <c r="X107" s="222"/>
      <c r="Y107" s="223"/>
      <c r="Z107" s="214"/>
      <c r="AA107" s="215"/>
      <c r="AB107" s="215"/>
      <c r="AC107" s="215"/>
      <c r="AD107" s="215"/>
      <c r="AE107" s="215"/>
      <c r="AF107" s="215"/>
      <c r="AG107" s="215"/>
      <c r="AH107" s="215"/>
      <c r="AI107" s="215"/>
      <c r="AJ107" s="215"/>
      <c r="AK107" s="215"/>
      <c r="AL107" s="215"/>
      <c r="AM107" s="215"/>
      <c r="AN107" s="215"/>
      <c r="AO107" s="215"/>
      <c r="AP107" s="215"/>
      <c r="AQ107" s="215"/>
      <c r="AR107" s="215"/>
      <c r="AS107" s="215"/>
      <c r="AT107" s="215"/>
      <c r="AU107" s="215"/>
      <c r="AV107" s="215"/>
      <c r="AW107" s="215"/>
      <c r="AX107" s="215"/>
      <c r="AY107" s="215"/>
      <c r="AZ107" s="215"/>
      <c r="BA107" s="215"/>
      <c r="BB107" s="215"/>
      <c r="BC107" s="215"/>
      <c r="BD107" s="215"/>
      <c r="BE107" s="215"/>
      <c r="BF107" s="215"/>
      <c r="BG107" s="26"/>
      <c r="BH107" s="25"/>
    </row>
    <row r="108" spans="1:60" ht="14.25" customHeight="1" x14ac:dyDescent="0.25">
      <c r="A108" s="40"/>
      <c r="B108" s="40"/>
      <c r="C108" s="37"/>
      <c r="D108" s="37"/>
      <c r="E108" s="37"/>
      <c r="F108" s="37"/>
      <c r="G108" s="37"/>
      <c r="H108" s="37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40"/>
      <c r="AE108" s="40"/>
      <c r="AF108" s="37"/>
      <c r="AG108" s="37"/>
      <c r="AH108" s="37"/>
      <c r="AI108" s="37"/>
      <c r="AJ108" s="37"/>
      <c r="AK108" s="37"/>
      <c r="AL108" s="25"/>
      <c r="AM108" s="25"/>
      <c r="AN108" s="25"/>
      <c r="AO108" s="25"/>
      <c r="AP108" s="25"/>
      <c r="AQ108" s="40"/>
      <c r="AR108" s="6"/>
      <c r="AS108" s="6"/>
      <c r="AT108" s="6"/>
      <c r="AU108" s="6"/>
      <c r="AV108" s="6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40"/>
      <c r="BH108" s="40"/>
    </row>
    <row r="109" spans="1:60" ht="14.25" customHeight="1" x14ac:dyDescent="0.25">
      <c r="A109" s="40"/>
      <c r="B109" s="40"/>
      <c r="C109" s="160" t="s">
        <v>91</v>
      </c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0"/>
      <c r="W109" s="180"/>
      <c r="X109" s="222"/>
      <c r="Y109" s="24"/>
      <c r="Z109" s="94"/>
      <c r="AA109" s="212"/>
      <c r="AB109" s="212"/>
      <c r="AC109" s="212"/>
      <c r="AD109" s="212"/>
      <c r="AE109" s="212"/>
      <c r="AF109" s="212"/>
      <c r="AG109" s="212"/>
      <c r="AH109" s="212"/>
      <c r="AI109" s="212"/>
      <c r="AJ109" s="212"/>
      <c r="AK109" s="212"/>
      <c r="AL109" s="212"/>
      <c r="AM109" s="212"/>
      <c r="AN109" s="212"/>
      <c r="AO109" s="212"/>
      <c r="AP109" s="212"/>
      <c r="AQ109" s="212"/>
      <c r="AR109" s="212"/>
      <c r="AS109" s="212"/>
      <c r="AT109" s="212"/>
      <c r="AU109" s="212"/>
      <c r="AV109" s="212"/>
      <c r="AW109" s="212"/>
      <c r="AX109" s="212"/>
      <c r="AY109" s="212"/>
      <c r="AZ109" s="212"/>
      <c r="BA109" s="212"/>
      <c r="BB109" s="212"/>
      <c r="BC109" s="212"/>
      <c r="BD109" s="212"/>
      <c r="BE109" s="212"/>
      <c r="BF109" s="213"/>
      <c r="BG109" s="26"/>
      <c r="BH109" s="25"/>
    </row>
    <row r="110" spans="1:60" ht="14.25" customHeight="1" x14ac:dyDescent="0.25">
      <c r="A110" s="40"/>
      <c r="B110" s="4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0"/>
      <c r="W110" s="180"/>
      <c r="X110" s="222"/>
      <c r="Y110" s="24"/>
      <c r="Z110" s="214"/>
      <c r="AA110" s="215"/>
      <c r="AB110" s="215"/>
      <c r="AC110" s="215"/>
      <c r="AD110" s="215"/>
      <c r="AE110" s="215"/>
      <c r="AF110" s="215"/>
      <c r="AG110" s="215"/>
      <c r="AH110" s="215"/>
      <c r="AI110" s="215"/>
      <c r="AJ110" s="215"/>
      <c r="AK110" s="215"/>
      <c r="AL110" s="215"/>
      <c r="AM110" s="215"/>
      <c r="AN110" s="215"/>
      <c r="AO110" s="215"/>
      <c r="AP110" s="215"/>
      <c r="AQ110" s="215"/>
      <c r="AR110" s="215"/>
      <c r="AS110" s="215"/>
      <c r="AT110" s="215"/>
      <c r="AU110" s="215"/>
      <c r="AV110" s="215"/>
      <c r="AW110" s="215"/>
      <c r="AX110" s="215"/>
      <c r="AY110" s="215"/>
      <c r="AZ110" s="215"/>
      <c r="BA110" s="215"/>
      <c r="BB110" s="215"/>
      <c r="BC110" s="215"/>
      <c r="BD110" s="215"/>
      <c r="BE110" s="215"/>
      <c r="BF110" s="216"/>
      <c r="BG110" s="26"/>
      <c r="BH110" s="25"/>
    </row>
    <row r="111" spans="1:60" ht="14.25" customHeight="1" x14ac:dyDescent="0.25">
      <c r="A111" s="40"/>
      <c r="B111" s="40"/>
      <c r="C111" s="37"/>
      <c r="D111" s="37"/>
      <c r="E111" s="37"/>
      <c r="F111" s="37"/>
      <c r="G111" s="37"/>
      <c r="H111" s="40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40"/>
      <c r="AE111" s="40"/>
      <c r="AF111" s="37"/>
      <c r="AG111" s="37"/>
      <c r="AH111" s="37"/>
      <c r="AI111" s="37"/>
      <c r="AJ111" s="37"/>
      <c r="AK111" s="37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40"/>
      <c r="BH111" s="40"/>
    </row>
    <row r="112" spans="1:60" ht="14.25" customHeight="1" x14ac:dyDescent="0.25">
      <c r="A112" s="40"/>
      <c r="B112" s="40"/>
      <c r="C112" s="37"/>
      <c r="D112" s="37"/>
      <c r="E112" s="37"/>
      <c r="F112" s="37"/>
      <c r="G112" s="37"/>
      <c r="H112" s="40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40"/>
      <c r="AE112" s="40"/>
      <c r="AF112" s="37"/>
      <c r="AG112" s="37"/>
      <c r="AH112" s="37"/>
      <c r="AI112" s="37"/>
      <c r="AJ112" s="37"/>
      <c r="AK112" s="37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40"/>
      <c r="BH112" s="40"/>
    </row>
    <row r="113" spans="1:60" ht="14.2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22"/>
      <c r="AP113" s="39"/>
      <c r="AQ113" s="39"/>
      <c r="AR113" s="39"/>
      <c r="AS113" s="39"/>
      <c r="AT113" s="39"/>
      <c r="AU113" s="39"/>
      <c r="AV113" s="39"/>
      <c r="AW113" s="45"/>
      <c r="AX113" s="12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</row>
    <row r="114" spans="1:60" ht="14.2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22"/>
      <c r="AP114" s="39"/>
      <c r="AQ114" s="39"/>
      <c r="AR114" s="39"/>
      <c r="AS114" s="39"/>
      <c r="AT114" s="39"/>
      <c r="AU114" s="39"/>
      <c r="AV114" s="39"/>
      <c r="AW114" s="45"/>
      <c r="AX114" s="12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</row>
    <row r="115" spans="1:60" ht="14.25" customHeight="1" x14ac:dyDescent="0.25">
      <c r="A115" s="39"/>
      <c r="B115" s="39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39"/>
      <c r="BH115" s="39"/>
    </row>
    <row r="116" spans="1:60" ht="14.25" customHeight="1" x14ac:dyDescent="0.25">
      <c r="A116" s="39"/>
      <c r="B116" s="39"/>
      <c r="C116" s="40"/>
      <c r="D116" s="40"/>
      <c r="E116" s="40"/>
      <c r="F116" s="40"/>
      <c r="G116" s="40"/>
      <c r="H116" s="40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40"/>
      <c r="AQ116" s="41"/>
      <c r="AR116" s="41"/>
      <c r="AS116" s="41"/>
      <c r="AT116" s="41"/>
      <c r="AU116" s="41"/>
      <c r="AV116" s="41"/>
      <c r="AW116" s="41"/>
      <c r="AX116" s="13"/>
      <c r="AY116" s="22"/>
      <c r="AZ116" s="22"/>
      <c r="BA116" s="22"/>
      <c r="BB116" s="22"/>
      <c r="BC116" s="22"/>
      <c r="BD116" s="22"/>
      <c r="BE116" s="22"/>
      <c r="BF116" s="22"/>
      <c r="BG116" s="39"/>
      <c r="BH116" s="39"/>
    </row>
    <row r="117" spans="1:60" ht="14.25" customHeight="1" x14ac:dyDescent="0.25">
      <c r="A117" s="39"/>
      <c r="B117" s="39"/>
      <c r="C117" s="146" t="s">
        <v>69</v>
      </c>
      <c r="D117" s="200"/>
      <c r="E117" s="200"/>
      <c r="F117" s="200"/>
      <c r="G117" s="200"/>
      <c r="H117" s="200"/>
      <c r="I117" s="218"/>
      <c r="J117" s="115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7"/>
      <c r="BG117" s="39"/>
      <c r="BH117" s="39"/>
    </row>
    <row r="118" spans="1:60" ht="14.25" customHeight="1" x14ac:dyDescent="0.25">
      <c r="A118" s="39"/>
      <c r="B118" s="39"/>
      <c r="C118" s="200"/>
      <c r="D118" s="200"/>
      <c r="E118" s="200"/>
      <c r="F118" s="200"/>
      <c r="G118" s="200"/>
      <c r="H118" s="200"/>
      <c r="I118" s="218"/>
      <c r="J118" s="118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  <c r="AA118" s="119"/>
      <c r="AB118" s="119"/>
      <c r="AC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19"/>
      <c r="AQ118" s="119"/>
      <c r="AR118" s="119"/>
      <c r="AS118" s="119"/>
      <c r="AT118" s="119"/>
      <c r="AU118" s="119"/>
      <c r="AV118" s="119"/>
      <c r="AW118" s="119"/>
      <c r="AX118" s="119"/>
      <c r="AY118" s="119"/>
      <c r="AZ118" s="119"/>
      <c r="BA118" s="119"/>
      <c r="BB118" s="119"/>
      <c r="BC118" s="119"/>
      <c r="BD118" s="119"/>
      <c r="BE118" s="119"/>
      <c r="BF118" s="120"/>
      <c r="BG118" s="39"/>
      <c r="BH118" s="39"/>
    </row>
    <row r="119" spans="1:60" ht="14.25" customHeight="1" x14ac:dyDescent="0.25">
      <c r="A119" s="39"/>
      <c r="B119" s="3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5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12"/>
      <c r="AF119" s="16"/>
      <c r="AG119" s="16"/>
      <c r="AH119" s="16"/>
      <c r="AI119" s="16"/>
      <c r="AJ119" s="16"/>
      <c r="AK119" s="16"/>
      <c r="AL119" s="16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39"/>
      <c r="BH119" s="39"/>
    </row>
    <row r="120" spans="1:60" ht="14.25" customHeight="1" x14ac:dyDescent="0.25">
      <c r="A120" s="39"/>
      <c r="B120" s="39"/>
      <c r="C120" s="160" t="s">
        <v>70</v>
      </c>
      <c r="D120" s="160"/>
      <c r="E120" s="160"/>
      <c r="F120" s="160"/>
      <c r="G120" s="160"/>
      <c r="H120" s="160"/>
      <c r="I120" s="160"/>
      <c r="J120" s="160"/>
      <c r="K120" s="160"/>
      <c r="L120" s="160"/>
      <c r="M120" s="160"/>
      <c r="N120" s="180"/>
      <c r="O120" s="22"/>
      <c r="P120" s="24"/>
      <c r="Q120" s="94"/>
      <c r="R120" s="212"/>
      <c r="S120" s="212"/>
      <c r="T120" s="212"/>
      <c r="U120" s="212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2"/>
      <c r="AP120" s="212"/>
      <c r="AQ120" s="212"/>
      <c r="AR120" s="212"/>
      <c r="AS120" s="212"/>
      <c r="AT120" s="212"/>
      <c r="AU120" s="212"/>
      <c r="AV120" s="212"/>
      <c r="AW120" s="212"/>
      <c r="AX120" s="212"/>
      <c r="AY120" s="212"/>
      <c r="AZ120" s="212"/>
      <c r="BA120" s="212"/>
      <c r="BB120" s="212"/>
      <c r="BC120" s="212"/>
      <c r="BD120" s="212"/>
      <c r="BE120" s="212"/>
      <c r="BF120" s="213"/>
      <c r="BG120" s="26"/>
      <c r="BH120" s="25"/>
    </row>
    <row r="121" spans="1:60" ht="14.25" customHeight="1" x14ac:dyDescent="0.25">
      <c r="A121" s="39"/>
      <c r="B121" s="39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80"/>
      <c r="O121" s="22"/>
      <c r="P121" s="24"/>
      <c r="Q121" s="214"/>
      <c r="R121" s="215"/>
      <c r="S121" s="215"/>
      <c r="T121" s="215"/>
      <c r="U121" s="215"/>
      <c r="V121" s="215"/>
      <c r="W121" s="215"/>
      <c r="X121" s="215"/>
      <c r="Y121" s="215"/>
      <c r="Z121" s="215"/>
      <c r="AA121" s="215"/>
      <c r="AB121" s="215"/>
      <c r="AC121" s="215"/>
      <c r="AD121" s="215"/>
      <c r="AE121" s="215"/>
      <c r="AF121" s="215"/>
      <c r="AG121" s="215"/>
      <c r="AH121" s="215"/>
      <c r="AI121" s="215"/>
      <c r="AJ121" s="215"/>
      <c r="AK121" s="215"/>
      <c r="AL121" s="215"/>
      <c r="AM121" s="215"/>
      <c r="AN121" s="215"/>
      <c r="AO121" s="215"/>
      <c r="AP121" s="215"/>
      <c r="AQ121" s="215"/>
      <c r="AR121" s="215"/>
      <c r="AS121" s="215"/>
      <c r="AT121" s="215"/>
      <c r="AU121" s="215"/>
      <c r="AV121" s="215"/>
      <c r="AW121" s="215"/>
      <c r="AX121" s="215"/>
      <c r="AY121" s="215"/>
      <c r="AZ121" s="215"/>
      <c r="BA121" s="215"/>
      <c r="BB121" s="215"/>
      <c r="BC121" s="215"/>
      <c r="BD121" s="215"/>
      <c r="BE121" s="215"/>
      <c r="BF121" s="216"/>
      <c r="BG121" s="26"/>
      <c r="BH121" s="25"/>
    </row>
    <row r="122" spans="1:60" ht="14.25" customHeight="1" x14ac:dyDescent="0.25">
      <c r="A122" s="39"/>
      <c r="B122" s="39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16"/>
      <c r="AQ122" s="16"/>
      <c r="AR122" s="16"/>
      <c r="AS122" s="16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39"/>
      <c r="BH122" s="39"/>
    </row>
    <row r="123" spans="1:60" ht="14.25" customHeight="1" x14ac:dyDescent="0.25">
      <c r="A123" s="39"/>
      <c r="B123" s="39"/>
      <c r="C123" s="160" t="s">
        <v>71</v>
      </c>
      <c r="D123" s="160"/>
      <c r="E123" s="160"/>
      <c r="F123" s="160"/>
      <c r="G123" s="160"/>
      <c r="H123" s="175"/>
      <c r="I123" s="200"/>
      <c r="J123" s="200"/>
      <c r="K123" s="200"/>
      <c r="L123" s="200"/>
      <c r="M123" s="200"/>
      <c r="N123" s="200"/>
      <c r="O123" s="22"/>
      <c r="P123" s="24"/>
      <c r="Q123" s="94"/>
      <c r="R123" s="212"/>
      <c r="S123" s="212"/>
      <c r="T123" s="212"/>
      <c r="U123" s="212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2"/>
      <c r="AP123" s="212"/>
      <c r="AQ123" s="212"/>
      <c r="AR123" s="212"/>
      <c r="AS123" s="212"/>
      <c r="AT123" s="212"/>
      <c r="AU123" s="212"/>
      <c r="AV123" s="212"/>
      <c r="AW123" s="212"/>
      <c r="AX123" s="212"/>
      <c r="AY123" s="212"/>
      <c r="AZ123" s="212"/>
      <c r="BA123" s="212"/>
      <c r="BB123" s="212"/>
      <c r="BC123" s="212"/>
      <c r="BD123" s="212"/>
      <c r="BE123" s="212"/>
      <c r="BF123" s="213"/>
      <c r="BG123" s="26"/>
      <c r="BH123" s="25"/>
    </row>
    <row r="124" spans="1:60" ht="14.25" customHeight="1" x14ac:dyDescent="0.25">
      <c r="A124" s="39"/>
      <c r="B124" s="39"/>
      <c r="C124" s="160"/>
      <c r="D124" s="160"/>
      <c r="E124" s="160"/>
      <c r="F124" s="160"/>
      <c r="G124" s="160"/>
      <c r="H124" s="175"/>
      <c r="I124" s="200"/>
      <c r="J124" s="200"/>
      <c r="K124" s="200"/>
      <c r="L124" s="200"/>
      <c r="M124" s="200"/>
      <c r="N124" s="200"/>
      <c r="O124" s="22"/>
      <c r="P124" s="24"/>
      <c r="Q124" s="214"/>
      <c r="R124" s="215"/>
      <c r="S124" s="215"/>
      <c r="T124" s="215"/>
      <c r="U124" s="215"/>
      <c r="V124" s="215"/>
      <c r="W124" s="215"/>
      <c r="X124" s="215"/>
      <c r="Y124" s="215"/>
      <c r="Z124" s="215"/>
      <c r="AA124" s="215"/>
      <c r="AB124" s="215"/>
      <c r="AC124" s="215"/>
      <c r="AD124" s="215"/>
      <c r="AE124" s="215"/>
      <c r="AF124" s="215"/>
      <c r="AG124" s="215"/>
      <c r="AH124" s="215"/>
      <c r="AI124" s="215"/>
      <c r="AJ124" s="215"/>
      <c r="AK124" s="215"/>
      <c r="AL124" s="215"/>
      <c r="AM124" s="215"/>
      <c r="AN124" s="215"/>
      <c r="AO124" s="215"/>
      <c r="AP124" s="215"/>
      <c r="AQ124" s="215"/>
      <c r="AR124" s="215"/>
      <c r="AS124" s="215"/>
      <c r="AT124" s="215"/>
      <c r="AU124" s="215"/>
      <c r="AV124" s="215"/>
      <c r="AW124" s="215"/>
      <c r="AX124" s="215"/>
      <c r="AY124" s="215"/>
      <c r="AZ124" s="215"/>
      <c r="BA124" s="215"/>
      <c r="BB124" s="215"/>
      <c r="BC124" s="215"/>
      <c r="BD124" s="215"/>
      <c r="BE124" s="215"/>
      <c r="BF124" s="216"/>
      <c r="BG124" s="26"/>
      <c r="BH124" s="25"/>
    </row>
    <row r="125" spans="1:60" ht="14.25" customHeight="1" x14ac:dyDescent="0.25">
      <c r="A125" s="39"/>
      <c r="B125" s="39"/>
      <c r="C125" s="210"/>
      <c r="D125" s="217"/>
      <c r="E125" s="217"/>
      <c r="F125" s="217"/>
      <c r="G125" s="217"/>
      <c r="H125" s="217"/>
      <c r="I125" s="217"/>
      <c r="J125" s="217"/>
      <c r="K125" s="217"/>
      <c r="L125" s="217"/>
      <c r="M125" s="217"/>
      <c r="N125" s="217"/>
      <c r="O125" s="217"/>
      <c r="P125" s="217"/>
      <c r="Q125" s="217"/>
      <c r="R125" s="217"/>
      <c r="S125" s="217"/>
      <c r="T125" s="217"/>
      <c r="U125" s="217"/>
      <c r="V125" s="217"/>
      <c r="W125" s="217"/>
      <c r="X125" s="217"/>
      <c r="Y125" s="217"/>
      <c r="Z125" s="217"/>
      <c r="AA125" s="217"/>
      <c r="AB125" s="217"/>
      <c r="AC125" s="217"/>
      <c r="AD125" s="217"/>
      <c r="AE125" s="217"/>
      <c r="AF125" s="217"/>
      <c r="AG125" s="217"/>
      <c r="AH125" s="217"/>
      <c r="AI125" s="217"/>
      <c r="AJ125" s="217"/>
      <c r="AK125" s="217"/>
      <c r="AL125" s="217"/>
      <c r="AM125" s="217"/>
      <c r="AN125" s="217"/>
      <c r="AO125" s="217"/>
      <c r="AP125" s="217"/>
      <c r="AQ125" s="217"/>
      <c r="AR125" s="217"/>
      <c r="AS125" s="217"/>
      <c r="AT125" s="217"/>
      <c r="AU125" s="217"/>
      <c r="AV125" s="217"/>
      <c r="AW125" s="217"/>
      <c r="AX125" s="217"/>
      <c r="AY125" s="217"/>
      <c r="AZ125" s="217"/>
      <c r="BA125" s="217"/>
      <c r="BB125" s="217"/>
      <c r="BC125" s="217"/>
      <c r="BD125" s="217"/>
      <c r="BE125" s="217"/>
      <c r="BF125" s="217"/>
      <c r="BG125" s="39"/>
      <c r="BH125" s="39"/>
    </row>
    <row r="126" spans="1:60" ht="14.25" customHeight="1" x14ac:dyDescent="0.25">
      <c r="A126" s="51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</row>
    <row r="127" spans="1:60" ht="14.25" customHeight="1" x14ac:dyDescent="0.25">
      <c r="A127" s="51"/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</row>
    <row r="128" spans="1:60" ht="14.25" customHeight="1" x14ac:dyDescent="0.25">
      <c r="A128" s="51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</row>
    <row r="129" spans="1:60" ht="14.25" customHeight="1" x14ac:dyDescent="0.25">
      <c r="A129" s="51"/>
      <c r="B129" s="51"/>
      <c r="C129" s="160" t="s">
        <v>72</v>
      </c>
      <c r="D129" s="160"/>
      <c r="E129" s="160"/>
      <c r="F129" s="160"/>
      <c r="G129" s="160"/>
      <c r="H129" s="175"/>
      <c r="I129" s="169"/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70"/>
      <c r="V129" s="170"/>
      <c r="W129" s="170"/>
      <c r="X129" s="170"/>
      <c r="Y129" s="170"/>
      <c r="Z129" s="170"/>
      <c r="AA129" s="170"/>
      <c r="AB129" s="170"/>
      <c r="AC129" s="171"/>
      <c r="AD129" s="51"/>
      <c r="AE129" s="160" t="s">
        <v>73</v>
      </c>
      <c r="AF129" s="200"/>
      <c r="AG129" s="200"/>
      <c r="AH129" s="200"/>
      <c r="AI129" s="200"/>
      <c r="AJ129" s="200"/>
      <c r="AK129" s="218"/>
      <c r="AL129" s="94"/>
      <c r="AM129" s="95"/>
      <c r="AN129" s="95"/>
      <c r="AO129" s="95"/>
      <c r="AP129" s="96"/>
      <c r="AQ129" s="229" t="s">
        <v>74</v>
      </c>
      <c r="AR129" s="200"/>
      <c r="AS129" s="200"/>
      <c r="AT129" s="200"/>
      <c r="AU129" s="200"/>
      <c r="AV129" s="218"/>
      <c r="AW129" s="169"/>
      <c r="AX129" s="170"/>
      <c r="AY129" s="170"/>
      <c r="AZ129" s="170"/>
      <c r="BA129" s="170"/>
      <c r="BB129" s="170"/>
      <c r="BC129" s="170"/>
      <c r="BD129" s="170"/>
      <c r="BE129" s="170"/>
      <c r="BF129" s="171"/>
      <c r="BG129" s="51"/>
      <c r="BH129" s="51"/>
    </row>
    <row r="130" spans="1:60" ht="14.25" customHeight="1" x14ac:dyDescent="0.25">
      <c r="A130" s="51"/>
      <c r="B130" s="51"/>
      <c r="C130" s="160"/>
      <c r="D130" s="160"/>
      <c r="E130" s="160"/>
      <c r="F130" s="160"/>
      <c r="G130" s="160"/>
      <c r="H130" s="175"/>
      <c r="I130" s="172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173"/>
      <c r="AA130" s="173"/>
      <c r="AB130" s="173"/>
      <c r="AC130" s="174"/>
      <c r="AD130" s="51"/>
      <c r="AE130" s="200"/>
      <c r="AF130" s="200"/>
      <c r="AG130" s="200"/>
      <c r="AH130" s="200"/>
      <c r="AI130" s="200"/>
      <c r="AJ130" s="200"/>
      <c r="AK130" s="218"/>
      <c r="AL130" s="97"/>
      <c r="AM130" s="98"/>
      <c r="AN130" s="98"/>
      <c r="AO130" s="98"/>
      <c r="AP130" s="99"/>
      <c r="AQ130" s="233"/>
      <c r="AR130" s="200"/>
      <c r="AS130" s="200"/>
      <c r="AT130" s="200"/>
      <c r="AU130" s="200"/>
      <c r="AV130" s="218"/>
      <c r="AW130" s="172"/>
      <c r="AX130" s="173"/>
      <c r="AY130" s="173"/>
      <c r="AZ130" s="173"/>
      <c r="BA130" s="173"/>
      <c r="BB130" s="173"/>
      <c r="BC130" s="173"/>
      <c r="BD130" s="173"/>
      <c r="BE130" s="173"/>
      <c r="BF130" s="174"/>
      <c r="BG130" s="51"/>
      <c r="BH130" s="51"/>
    </row>
    <row r="131" spans="1:60" ht="14.25" customHeight="1" x14ac:dyDescent="0.25">
      <c r="A131" s="51"/>
      <c r="B131" s="51"/>
      <c r="C131" s="49"/>
      <c r="D131" s="49"/>
      <c r="E131" s="49"/>
      <c r="F131" s="49"/>
      <c r="G131" s="49"/>
      <c r="H131" s="49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49"/>
      <c r="AG131" s="49"/>
      <c r="AH131" s="49"/>
      <c r="AI131" s="49"/>
      <c r="AJ131" s="49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</row>
    <row r="132" spans="1:60" ht="14.25" customHeight="1" x14ac:dyDescent="0.25">
      <c r="A132" s="51"/>
      <c r="B132" s="51"/>
      <c r="C132" s="160" t="s">
        <v>75</v>
      </c>
      <c r="D132" s="160"/>
      <c r="E132" s="160"/>
      <c r="F132" s="160"/>
      <c r="G132" s="160"/>
      <c r="H132" s="51"/>
      <c r="I132" s="169"/>
      <c r="J132" s="170"/>
      <c r="K132" s="170"/>
      <c r="L132" s="170"/>
      <c r="M132" s="170"/>
      <c r="N132" s="170"/>
      <c r="O132" s="170"/>
      <c r="P132" s="170"/>
      <c r="Q132" s="170"/>
      <c r="R132" s="170"/>
      <c r="S132" s="170"/>
      <c r="T132" s="170"/>
      <c r="U132" s="170"/>
      <c r="V132" s="170"/>
      <c r="W132" s="170"/>
      <c r="X132" s="170"/>
      <c r="Y132" s="170"/>
      <c r="Z132" s="170"/>
      <c r="AA132" s="170"/>
      <c r="AB132" s="170"/>
      <c r="AC132" s="171"/>
      <c r="AD132" s="51"/>
      <c r="AE132" s="160" t="s">
        <v>76</v>
      </c>
      <c r="AF132" s="200"/>
      <c r="AG132" s="200"/>
      <c r="AH132" s="200"/>
      <c r="AI132" s="200"/>
      <c r="AJ132" s="200"/>
      <c r="AK132" s="218"/>
      <c r="AL132" s="169"/>
      <c r="AM132" s="170"/>
      <c r="AN132" s="170"/>
      <c r="AO132" s="170"/>
      <c r="AP132" s="170"/>
      <c r="AQ132" s="170"/>
      <c r="AR132" s="170"/>
      <c r="AS132" s="170"/>
      <c r="AT132" s="170"/>
      <c r="AU132" s="170"/>
      <c r="AV132" s="170"/>
      <c r="AW132" s="170"/>
      <c r="AX132" s="170"/>
      <c r="AY132" s="170"/>
      <c r="AZ132" s="170"/>
      <c r="BA132" s="170"/>
      <c r="BB132" s="170"/>
      <c r="BC132" s="170"/>
      <c r="BD132" s="170"/>
      <c r="BE132" s="170"/>
      <c r="BF132" s="171"/>
      <c r="BG132" s="51"/>
      <c r="BH132" s="51"/>
    </row>
    <row r="133" spans="1:60" ht="14.25" customHeight="1" x14ac:dyDescent="0.25">
      <c r="A133" s="51"/>
      <c r="B133" s="51"/>
      <c r="C133" s="160"/>
      <c r="D133" s="160"/>
      <c r="E133" s="160"/>
      <c r="F133" s="160"/>
      <c r="G133" s="160"/>
      <c r="H133" s="51"/>
      <c r="I133" s="172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4"/>
      <c r="AD133" s="51"/>
      <c r="AE133" s="200"/>
      <c r="AF133" s="200"/>
      <c r="AG133" s="200"/>
      <c r="AH133" s="200"/>
      <c r="AI133" s="200"/>
      <c r="AJ133" s="200"/>
      <c r="AK133" s="218"/>
      <c r="AL133" s="172"/>
      <c r="AM133" s="173"/>
      <c r="AN133" s="173"/>
      <c r="AO133" s="173"/>
      <c r="AP133" s="173"/>
      <c r="AQ133" s="173"/>
      <c r="AR133" s="173"/>
      <c r="AS133" s="173"/>
      <c r="AT133" s="173"/>
      <c r="AU133" s="173"/>
      <c r="AV133" s="173"/>
      <c r="AW133" s="173"/>
      <c r="AX133" s="173"/>
      <c r="AY133" s="173"/>
      <c r="AZ133" s="173"/>
      <c r="BA133" s="173"/>
      <c r="BB133" s="173"/>
      <c r="BC133" s="173"/>
      <c r="BD133" s="173"/>
      <c r="BE133" s="173"/>
      <c r="BF133" s="174"/>
      <c r="BG133" s="51"/>
      <c r="BH133" s="51"/>
    </row>
    <row r="134" spans="1:60" ht="14.25" customHeight="1" x14ac:dyDescent="0.25">
      <c r="A134" s="51"/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49"/>
      <c r="AG134" s="49"/>
      <c r="AH134" s="49"/>
      <c r="AI134" s="49"/>
      <c r="AJ134" s="49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</row>
    <row r="135" spans="1:60" ht="14.25" customHeight="1" x14ac:dyDescent="0.25">
      <c r="A135" s="51"/>
      <c r="B135" s="51"/>
      <c r="C135" s="160" t="s">
        <v>77</v>
      </c>
      <c r="D135" s="160"/>
      <c r="E135" s="160"/>
      <c r="F135" s="160"/>
      <c r="G135" s="160"/>
      <c r="H135" s="51"/>
      <c r="I135" s="169"/>
      <c r="J135" s="170"/>
      <c r="K135" s="170"/>
      <c r="L135" s="170"/>
      <c r="M135" s="170"/>
      <c r="N135" s="170"/>
      <c r="O135" s="170"/>
      <c r="P135" s="170"/>
      <c r="Q135" s="170"/>
      <c r="R135" s="170"/>
      <c r="S135" s="170"/>
      <c r="T135" s="170"/>
      <c r="U135" s="170"/>
      <c r="V135" s="170"/>
      <c r="W135" s="170"/>
      <c r="X135" s="170"/>
      <c r="Y135" s="170"/>
      <c r="Z135" s="170"/>
      <c r="AA135" s="170"/>
      <c r="AB135" s="170"/>
      <c r="AC135" s="171"/>
      <c r="AD135" s="51"/>
      <c r="AE135" s="239" t="s">
        <v>78</v>
      </c>
      <c r="AF135" s="239"/>
      <c r="AG135" s="239"/>
      <c r="AH135" s="239"/>
      <c r="AI135" s="239"/>
      <c r="AJ135" s="239"/>
      <c r="AK135" s="239"/>
      <c r="AL135" s="239"/>
      <c r="AM135" s="239"/>
      <c r="AN135" s="239"/>
      <c r="AO135" s="239"/>
      <c r="AP135" s="239"/>
      <c r="AQ135" s="239"/>
      <c r="AR135" s="239"/>
      <c r="AS135" s="239"/>
      <c r="AT135" s="94" t="s">
        <v>46</v>
      </c>
      <c r="AU135" s="95"/>
      <c r="AV135" s="95"/>
      <c r="AW135" s="96"/>
      <c r="AX135" s="36"/>
      <c r="AY135" s="162" t="s">
        <v>261</v>
      </c>
      <c r="AZ135" s="162"/>
      <c r="BA135" s="240"/>
      <c r="BB135" s="115"/>
      <c r="BC135" s="116"/>
      <c r="BD135" s="116"/>
      <c r="BE135" s="116"/>
      <c r="BF135" s="117"/>
      <c r="BG135" s="51"/>
      <c r="BH135" s="51"/>
    </row>
    <row r="136" spans="1:60" ht="14.25" customHeight="1" x14ac:dyDescent="0.25">
      <c r="A136" s="51"/>
      <c r="B136" s="51"/>
      <c r="C136" s="160"/>
      <c r="D136" s="160"/>
      <c r="E136" s="160"/>
      <c r="F136" s="160"/>
      <c r="G136" s="160"/>
      <c r="H136" s="51"/>
      <c r="I136" s="172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3"/>
      <c r="X136" s="173"/>
      <c r="Y136" s="173"/>
      <c r="Z136" s="173"/>
      <c r="AA136" s="173"/>
      <c r="AB136" s="173"/>
      <c r="AC136" s="174"/>
      <c r="AD136" s="51"/>
      <c r="AE136" s="239"/>
      <c r="AF136" s="239"/>
      <c r="AG136" s="239"/>
      <c r="AH136" s="239"/>
      <c r="AI136" s="239"/>
      <c r="AJ136" s="239"/>
      <c r="AK136" s="239"/>
      <c r="AL136" s="239"/>
      <c r="AM136" s="239"/>
      <c r="AN136" s="239"/>
      <c r="AO136" s="239"/>
      <c r="AP136" s="239"/>
      <c r="AQ136" s="239"/>
      <c r="AR136" s="239"/>
      <c r="AS136" s="239"/>
      <c r="AT136" s="97"/>
      <c r="AU136" s="98"/>
      <c r="AV136" s="98"/>
      <c r="AW136" s="99"/>
      <c r="AX136" s="36"/>
      <c r="AY136" s="162"/>
      <c r="AZ136" s="162"/>
      <c r="BA136" s="240"/>
      <c r="BB136" s="118"/>
      <c r="BC136" s="119"/>
      <c r="BD136" s="119"/>
      <c r="BE136" s="119"/>
      <c r="BF136" s="120"/>
      <c r="BG136" s="51"/>
      <c r="BH136" s="51"/>
    </row>
    <row r="137" spans="1:60" ht="14.25" customHeight="1" x14ac:dyDescent="0.25">
      <c r="A137" s="51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/>
      <c r="BH137" s="51"/>
    </row>
    <row r="138" spans="1:60" ht="14.25" customHeight="1" x14ac:dyDescent="0.25">
      <c r="A138" s="51"/>
      <c r="B138" s="51"/>
      <c r="C138" s="143" t="s">
        <v>284</v>
      </c>
      <c r="D138" s="143"/>
      <c r="E138" s="143"/>
      <c r="F138" s="143"/>
      <c r="G138" s="143"/>
      <c r="H138" s="51"/>
      <c r="I138" s="100" t="s">
        <v>31</v>
      </c>
      <c r="J138" s="101"/>
      <c r="K138" s="101"/>
      <c r="L138" s="101"/>
      <c r="M138" s="101"/>
      <c r="N138" s="101"/>
      <c r="O138" s="101"/>
      <c r="P138" s="101"/>
      <c r="Q138" s="241"/>
      <c r="R138" s="241"/>
      <c r="S138" s="241"/>
      <c r="T138" s="241"/>
      <c r="U138" s="241"/>
      <c r="V138" s="242"/>
      <c r="W138" s="146" t="s">
        <v>285</v>
      </c>
      <c r="X138" s="146"/>
      <c r="Y138" s="146"/>
      <c r="Z138" s="218"/>
      <c r="AA138" s="115"/>
      <c r="AB138" s="212"/>
      <c r="AC138" s="212"/>
      <c r="AD138" s="213"/>
      <c r="AE138" s="146" t="s">
        <v>286</v>
      </c>
      <c r="AF138" s="200"/>
      <c r="AG138" s="200"/>
      <c r="AH138" s="200"/>
      <c r="AI138" s="218"/>
      <c r="AJ138" s="115"/>
      <c r="AK138" s="133"/>
      <c r="AL138" s="133"/>
      <c r="AM138" s="133"/>
      <c r="AN138" s="133"/>
      <c r="AO138" s="133"/>
      <c r="AP138" s="133"/>
      <c r="AQ138" s="134"/>
      <c r="AR138" s="19"/>
      <c r="AS138" s="221" t="s">
        <v>287</v>
      </c>
      <c r="AT138" s="221"/>
      <c r="AU138" s="221"/>
      <c r="AV138" s="221"/>
      <c r="AW138" s="221"/>
      <c r="AX138" s="167"/>
      <c r="AY138" s="94"/>
      <c r="AZ138" s="95"/>
      <c r="BA138" s="95"/>
      <c r="BB138" s="95"/>
      <c r="BC138" s="95"/>
      <c r="BD138" s="95"/>
      <c r="BE138" s="95"/>
      <c r="BF138" s="96"/>
      <c r="BG138" s="51"/>
      <c r="BH138" s="51"/>
    </row>
    <row r="139" spans="1:60" ht="14.25" customHeight="1" x14ac:dyDescent="0.25">
      <c r="A139" s="51"/>
      <c r="B139" s="51"/>
      <c r="C139" s="143"/>
      <c r="D139" s="143"/>
      <c r="E139" s="143"/>
      <c r="F139" s="143"/>
      <c r="G139" s="143"/>
      <c r="H139" s="51"/>
      <c r="I139" s="103"/>
      <c r="J139" s="104"/>
      <c r="K139" s="104"/>
      <c r="L139" s="104"/>
      <c r="M139" s="104"/>
      <c r="N139" s="104"/>
      <c r="O139" s="104"/>
      <c r="P139" s="104"/>
      <c r="Q139" s="243"/>
      <c r="R139" s="243"/>
      <c r="S139" s="243"/>
      <c r="T139" s="243"/>
      <c r="U139" s="243"/>
      <c r="V139" s="244"/>
      <c r="W139" s="146"/>
      <c r="X139" s="146"/>
      <c r="Y139" s="146"/>
      <c r="Z139" s="218"/>
      <c r="AA139" s="214"/>
      <c r="AB139" s="215"/>
      <c r="AC139" s="215"/>
      <c r="AD139" s="216"/>
      <c r="AE139" s="200"/>
      <c r="AF139" s="200"/>
      <c r="AG139" s="200"/>
      <c r="AH139" s="200"/>
      <c r="AI139" s="218"/>
      <c r="AJ139" s="135"/>
      <c r="AK139" s="136"/>
      <c r="AL139" s="136"/>
      <c r="AM139" s="136"/>
      <c r="AN139" s="136"/>
      <c r="AO139" s="136"/>
      <c r="AP139" s="136"/>
      <c r="AQ139" s="137"/>
      <c r="AR139" s="19"/>
      <c r="AS139" s="221"/>
      <c r="AT139" s="221"/>
      <c r="AU139" s="221"/>
      <c r="AV139" s="221"/>
      <c r="AW139" s="221"/>
      <c r="AX139" s="167"/>
      <c r="AY139" s="97"/>
      <c r="AZ139" s="98"/>
      <c r="BA139" s="98"/>
      <c r="BB139" s="98"/>
      <c r="BC139" s="98"/>
      <c r="BD139" s="98"/>
      <c r="BE139" s="98"/>
      <c r="BF139" s="99"/>
      <c r="BG139" s="51"/>
      <c r="BH139" s="51"/>
    </row>
    <row r="140" spans="1:60" ht="14.25" customHeight="1" x14ac:dyDescent="0.25">
      <c r="A140" s="51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  <c r="BG140" s="51"/>
      <c r="BH140" s="51"/>
    </row>
    <row r="141" spans="1:60" ht="14.25" customHeight="1" x14ac:dyDescent="0.25">
      <c r="A141" s="51"/>
      <c r="B141" s="51"/>
      <c r="C141" s="143" t="s">
        <v>288</v>
      </c>
      <c r="D141" s="143"/>
      <c r="E141" s="143"/>
      <c r="F141" s="143"/>
      <c r="G141" s="143"/>
      <c r="H141" s="218"/>
      <c r="I141" s="115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  <c r="AH141" s="116"/>
      <c r="AI141" s="116"/>
      <c r="AJ141" s="116"/>
      <c r="AK141" s="116"/>
      <c r="AL141" s="116"/>
      <c r="AM141" s="116"/>
      <c r="AN141" s="116"/>
      <c r="AO141" s="117"/>
      <c r="AP141" s="145" t="s">
        <v>289</v>
      </c>
      <c r="AQ141" s="200"/>
      <c r="AR141" s="200"/>
      <c r="AS141" s="200"/>
      <c r="AT141" s="200"/>
      <c r="AU141" s="200"/>
      <c r="AV141" s="200"/>
      <c r="AW141" s="200"/>
      <c r="AX141" s="218"/>
      <c r="AY141" s="115"/>
      <c r="AZ141" s="116"/>
      <c r="BA141" s="116"/>
      <c r="BB141" s="116"/>
      <c r="BC141" s="116"/>
      <c r="BD141" s="116"/>
      <c r="BE141" s="116"/>
      <c r="BF141" s="117"/>
      <c r="BG141" s="51"/>
      <c r="BH141" s="51"/>
    </row>
    <row r="142" spans="1:60" ht="14.25" customHeight="1" x14ac:dyDescent="0.25">
      <c r="A142" s="51"/>
      <c r="B142" s="51"/>
      <c r="C142" s="143"/>
      <c r="D142" s="143"/>
      <c r="E142" s="143"/>
      <c r="F142" s="143"/>
      <c r="G142" s="143"/>
      <c r="H142" s="218"/>
      <c r="I142" s="118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  <c r="AA142" s="119"/>
      <c r="AB142" s="119"/>
      <c r="AC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20"/>
      <c r="AP142" s="233"/>
      <c r="AQ142" s="200"/>
      <c r="AR142" s="200"/>
      <c r="AS142" s="200"/>
      <c r="AT142" s="200"/>
      <c r="AU142" s="200"/>
      <c r="AV142" s="200"/>
      <c r="AW142" s="200"/>
      <c r="AX142" s="218"/>
      <c r="AY142" s="118"/>
      <c r="AZ142" s="119"/>
      <c r="BA142" s="119"/>
      <c r="BB142" s="119"/>
      <c r="BC142" s="119"/>
      <c r="BD142" s="119"/>
      <c r="BE142" s="119"/>
      <c r="BF142" s="120"/>
      <c r="BG142" s="51"/>
      <c r="BH142" s="51"/>
    </row>
    <row r="143" spans="1:60" ht="14.25" customHeight="1" x14ac:dyDescent="0.25">
      <c r="A143" s="51"/>
      <c r="B143" s="51"/>
      <c r="C143" s="234" t="s">
        <v>38</v>
      </c>
      <c r="D143" s="234"/>
      <c r="E143" s="234"/>
      <c r="F143" s="234"/>
      <c r="G143" s="234"/>
      <c r="H143" s="234"/>
      <c r="I143" s="234"/>
      <c r="J143" s="234"/>
      <c r="K143" s="234"/>
      <c r="L143" s="234"/>
      <c r="M143" s="234"/>
      <c r="N143" s="234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51"/>
      <c r="AQ143" s="53"/>
      <c r="AR143" s="53"/>
      <c r="AS143" s="53"/>
      <c r="AT143" s="53"/>
      <c r="AU143" s="53"/>
      <c r="AV143" s="53"/>
      <c r="AW143" s="53"/>
      <c r="AX143" s="13"/>
      <c r="AY143" s="22"/>
      <c r="AZ143" s="22"/>
      <c r="BA143" s="22"/>
      <c r="BB143" s="22"/>
      <c r="BC143" s="22"/>
      <c r="BD143" s="22"/>
      <c r="BE143" s="22"/>
      <c r="BF143" s="22"/>
      <c r="BG143" s="51"/>
      <c r="BH143" s="51"/>
    </row>
    <row r="144" spans="1:60" ht="14.25" customHeight="1" x14ac:dyDescent="0.25">
      <c r="A144" s="51"/>
      <c r="B144" s="51"/>
      <c r="C144" s="234"/>
      <c r="D144" s="234"/>
      <c r="E144" s="234"/>
      <c r="F144" s="234"/>
      <c r="G144" s="234"/>
      <c r="H144" s="234"/>
      <c r="I144" s="234"/>
      <c r="J144" s="234"/>
      <c r="K144" s="234"/>
      <c r="L144" s="234"/>
      <c r="M144" s="234"/>
      <c r="N144" s="234"/>
      <c r="O144" s="52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235" t="s">
        <v>330</v>
      </c>
      <c r="AF144" s="236"/>
      <c r="AG144" s="236"/>
      <c r="AH144" s="236"/>
      <c r="AI144" s="236"/>
      <c r="AJ144" s="236"/>
      <c r="AK144" s="236"/>
      <c r="AL144" s="236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  <c r="BG144" s="51"/>
      <c r="BH144" s="51"/>
    </row>
    <row r="145" spans="1:60" ht="14.25" customHeight="1" x14ac:dyDescent="0.25">
      <c r="A145" s="51"/>
      <c r="B145" s="51"/>
      <c r="C145" s="237" t="s">
        <v>290</v>
      </c>
      <c r="D145" s="237"/>
      <c r="E145" s="237"/>
      <c r="F145" s="237"/>
      <c r="G145" s="237"/>
      <c r="H145" s="237"/>
      <c r="I145" s="237"/>
      <c r="J145" s="237"/>
      <c r="K145" s="238"/>
      <c r="L145" s="115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7"/>
      <c r="AD145" s="51"/>
      <c r="AE145" s="236"/>
      <c r="AF145" s="236"/>
      <c r="AG145" s="236"/>
      <c r="AH145" s="236"/>
      <c r="AI145" s="236"/>
      <c r="AJ145" s="236"/>
      <c r="AK145" s="236"/>
      <c r="AL145" s="236"/>
      <c r="AM145" s="115"/>
      <c r="AN145" s="116"/>
      <c r="AO145" s="116"/>
      <c r="AP145" s="116"/>
      <c r="AQ145" s="116"/>
      <c r="AR145" s="116"/>
      <c r="AS145" s="116"/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7"/>
      <c r="BG145" s="51"/>
      <c r="BH145" s="51"/>
    </row>
    <row r="146" spans="1:60" ht="14.25" customHeight="1" x14ac:dyDescent="0.25">
      <c r="A146" s="51"/>
      <c r="B146" s="51"/>
      <c r="C146" s="237"/>
      <c r="D146" s="237"/>
      <c r="E146" s="237"/>
      <c r="F146" s="237"/>
      <c r="G146" s="237"/>
      <c r="H146" s="237"/>
      <c r="I146" s="237"/>
      <c r="J146" s="237"/>
      <c r="K146" s="238"/>
      <c r="L146" s="118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  <c r="AA146" s="119"/>
      <c r="AB146" s="119"/>
      <c r="AC146" s="120"/>
      <c r="AD146" s="51"/>
      <c r="AE146" s="236"/>
      <c r="AF146" s="236"/>
      <c r="AG146" s="236"/>
      <c r="AH146" s="236"/>
      <c r="AI146" s="236"/>
      <c r="AJ146" s="236"/>
      <c r="AK146" s="236"/>
      <c r="AL146" s="236"/>
      <c r="AM146" s="118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119"/>
      <c r="AY146" s="119"/>
      <c r="AZ146" s="119"/>
      <c r="BA146" s="119"/>
      <c r="BB146" s="119"/>
      <c r="BC146" s="119"/>
      <c r="BD146" s="119"/>
      <c r="BE146" s="119"/>
      <c r="BF146" s="120"/>
      <c r="BG146" s="51"/>
      <c r="BH146" s="51"/>
    </row>
    <row r="147" spans="1:60" ht="14.25" customHeight="1" x14ac:dyDescent="0.25">
      <c r="A147" s="51"/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226" t="s">
        <v>293</v>
      </c>
      <c r="AP147" s="227"/>
      <c r="AQ147" s="227"/>
      <c r="AR147" s="227"/>
      <c r="AS147" s="227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  <c r="BG147" s="51"/>
      <c r="BH147" s="51"/>
    </row>
    <row r="148" spans="1:60" ht="14.25" customHeight="1" x14ac:dyDescent="0.25">
      <c r="A148" s="51"/>
      <c r="B148" s="51"/>
      <c r="C148" s="143" t="s">
        <v>291</v>
      </c>
      <c r="D148" s="143"/>
      <c r="E148" s="143"/>
      <c r="F148" s="200"/>
      <c r="G148" s="51"/>
      <c r="H148" s="51"/>
      <c r="I148" s="115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7"/>
      <c r="AD148" s="51"/>
      <c r="AE148" s="51"/>
      <c r="AF148" s="51"/>
      <c r="AG148" s="143" t="s">
        <v>292</v>
      </c>
      <c r="AH148" s="200"/>
      <c r="AI148" s="200"/>
      <c r="AJ148" s="218"/>
      <c r="AK148" s="122"/>
      <c r="AL148" s="123"/>
      <c r="AM148" s="123"/>
      <c r="AN148" s="124"/>
      <c r="AO148" s="228"/>
      <c r="AP148" s="228"/>
      <c r="AQ148" s="228"/>
      <c r="AR148" s="228"/>
      <c r="AS148" s="228"/>
      <c r="AT148" s="122"/>
      <c r="AU148" s="123"/>
      <c r="AV148" s="123"/>
      <c r="AW148" s="124"/>
      <c r="AX148" s="229" t="s">
        <v>294</v>
      </c>
      <c r="AY148" s="230"/>
      <c r="AZ148" s="230"/>
      <c r="BA148" s="230"/>
      <c r="BB148" s="231"/>
      <c r="BC148" s="122"/>
      <c r="BD148" s="123"/>
      <c r="BE148" s="123"/>
      <c r="BF148" s="124"/>
      <c r="BG148" s="51"/>
      <c r="BH148" s="51"/>
    </row>
    <row r="149" spans="1:60" ht="14.25" customHeight="1" x14ac:dyDescent="0.25">
      <c r="A149" s="51"/>
      <c r="B149" s="51"/>
      <c r="C149" s="143"/>
      <c r="D149" s="143"/>
      <c r="E149" s="143"/>
      <c r="F149" s="200"/>
      <c r="G149" s="51"/>
      <c r="H149" s="51"/>
      <c r="I149" s="118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20"/>
      <c r="AD149" s="51"/>
      <c r="AE149" s="51"/>
      <c r="AF149" s="51"/>
      <c r="AG149" s="200"/>
      <c r="AH149" s="200"/>
      <c r="AI149" s="200"/>
      <c r="AJ149" s="218"/>
      <c r="AK149" s="125"/>
      <c r="AL149" s="126"/>
      <c r="AM149" s="126"/>
      <c r="AN149" s="127"/>
      <c r="AO149" s="228"/>
      <c r="AP149" s="228"/>
      <c r="AQ149" s="228"/>
      <c r="AR149" s="228"/>
      <c r="AS149" s="228"/>
      <c r="AT149" s="125"/>
      <c r="AU149" s="126"/>
      <c r="AV149" s="126"/>
      <c r="AW149" s="127"/>
      <c r="AX149" s="232"/>
      <c r="AY149" s="230"/>
      <c r="AZ149" s="230"/>
      <c r="BA149" s="230"/>
      <c r="BB149" s="231"/>
      <c r="BC149" s="125"/>
      <c r="BD149" s="126"/>
      <c r="BE149" s="126"/>
      <c r="BF149" s="127"/>
      <c r="BG149" s="51"/>
      <c r="BH149" s="51"/>
    </row>
    <row r="150" spans="1:60" ht="11.25" customHeight="1" x14ac:dyDescent="0.25">
      <c r="A150" s="51"/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  <c r="BG150" s="51"/>
      <c r="BH150" s="51"/>
    </row>
    <row r="151" spans="1:60" ht="14.25" customHeight="1" x14ac:dyDescent="0.25">
      <c r="A151" s="51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  <c r="BG151" s="51"/>
      <c r="BH151" s="51"/>
    </row>
    <row r="152" spans="1:60" ht="14.25" customHeight="1" x14ac:dyDescent="0.25">
      <c r="A152" s="51"/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  <c r="BG152" s="51"/>
      <c r="BH152" s="51"/>
    </row>
    <row r="153" spans="1:60" ht="14.25" customHeight="1" x14ac:dyDescent="0.25">
      <c r="A153" s="51"/>
      <c r="B153" s="51"/>
      <c r="C153" s="51"/>
      <c r="D153" s="51"/>
      <c r="E153" s="51"/>
      <c r="F153" s="51"/>
      <c r="G153" s="50" t="s">
        <v>18</v>
      </c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23" t="s">
        <v>19</v>
      </c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23" t="s">
        <v>20</v>
      </c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23" t="s">
        <v>21</v>
      </c>
      <c r="BA153" s="51"/>
      <c r="BB153" s="51"/>
      <c r="BC153" s="51"/>
      <c r="BD153" s="51"/>
      <c r="BE153" s="51"/>
      <c r="BF153" s="51"/>
      <c r="BG153" s="51"/>
      <c r="BH153" s="51"/>
    </row>
    <row r="154" spans="1:60" ht="14.25" customHeight="1" x14ac:dyDescent="0.25">
      <c r="A154" s="51"/>
      <c r="B154" s="51"/>
      <c r="C154" s="51"/>
      <c r="D154" s="51"/>
      <c r="E154" s="51"/>
      <c r="F154" s="51"/>
      <c r="G154" s="51"/>
      <c r="H154" s="51"/>
      <c r="I154" s="8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8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8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8"/>
      <c r="BA154" s="51"/>
      <c r="BB154" s="51"/>
      <c r="BC154" s="51"/>
      <c r="BD154" s="51"/>
      <c r="BE154" s="51"/>
      <c r="BF154" s="51"/>
      <c r="BG154" s="51"/>
      <c r="BH154" s="51"/>
    </row>
    <row r="155" spans="1:60" ht="14.25" customHeight="1" x14ac:dyDescent="0.25">
      <c r="A155" s="51"/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4" t="s">
        <v>22</v>
      </c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  <c r="BG155" s="51"/>
      <c r="BH155" s="51"/>
    </row>
    <row r="156" spans="1:60" ht="14.25" customHeight="1" x14ac:dyDescent="0.25">
      <c r="A156" s="51"/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/>
      <c r="BH156" s="51"/>
    </row>
    <row r="157" spans="1:60" ht="14.25" customHeight="1" x14ac:dyDescent="0.25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1"/>
      <c r="AY157" s="51"/>
      <c r="AZ157" s="51"/>
      <c r="BA157" s="51"/>
      <c r="BB157" s="51"/>
      <c r="BC157" s="51"/>
      <c r="BD157" s="51"/>
      <c r="BE157" s="51"/>
      <c r="BF157" s="51"/>
      <c r="BG157" s="51"/>
      <c r="BH157" s="51"/>
    </row>
    <row r="158" spans="1:60" ht="14.25" customHeight="1" x14ac:dyDescent="0.25">
      <c r="A158" s="51"/>
      <c r="B158" s="51"/>
      <c r="C158" s="160" t="s">
        <v>79</v>
      </c>
      <c r="D158" s="160"/>
      <c r="E158" s="160"/>
      <c r="F158" s="160"/>
      <c r="G158" s="160"/>
      <c r="H158" s="160"/>
      <c r="I158" s="160"/>
      <c r="J158" s="160"/>
      <c r="K158" s="160"/>
      <c r="L158" s="160"/>
      <c r="M158" s="160"/>
      <c r="N158" s="180"/>
      <c r="O158" s="218"/>
      <c r="P158" s="115"/>
      <c r="Q158" s="212"/>
      <c r="R158" s="212"/>
      <c r="S158" s="212"/>
      <c r="T158" s="213"/>
      <c r="U158" s="9"/>
      <c r="V158" s="146" t="s">
        <v>80</v>
      </c>
      <c r="W158" s="146"/>
      <c r="X158" s="146"/>
      <c r="Y158" s="146"/>
      <c r="Z158" s="146"/>
      <c r="AA158" s="146"/>
      <c r="AB158" s="146"/>
      <c r="AC158" s="220"/>
      <c r="AD158" s="115"/>
      <c r="AE158" s="116"/>
      <c r="AF158" s="116"/>
      <c r="AG158" s="116"/>
      <c r="AH158" s="116"/>
      <c r="AI158" s="116"/>
      <c r="AJ158" s="116"/>
      <c r="AK158" s="117"/>
      <c r="AL158" s="51"/>
      <c r="AM158" s="51"/>
      <c r="AN158" s="51"/>
      <c r="AO158" s="51"/>
      <c r="AP158" s="51"/>
      <c r="AQ158" s="51"/>
      <c r="AR158" s="221" t="s">
        <v>81</v>
      </c>
      <c r="AS158" s="221"/>
      <c r="AT158" s="221"/>
      <c r="AU158" s="221"/>
      <c r="AV158" s="221"/>
      <c r="AW158" s="51"/>
      <c r="AX158" s="51"/>
      <c r="AY158" s="201"/>
      <c r="AZ158" s="202"/>
      <c r="BA158" s="202"/>
      <c r="BB158" s="202"/>
      <c r="BC158" s="202"/>
      <c r="BD158" s="202"/>
      <c r="BE158" s="202"/>
      <c r="BF158" s="203"/>
      <c r="BG158" s="51"/>
      <c r="BH158" s="51"/>
    </row>
    <row r="159" spans="1:60" ht="14.25" customHeight="1" x14ac:dyDescent="0.25">
      <c r="A159" s="51"/>
      <c r="B159" s="51"/>
      <c r="C159" s="160"/>
      <c r="D159" s="160"/>
      <c r="E159" s="160"/>
      <c r="F159" s="160"/>
      <c r="G159" s="160"/>
      <c r="H159" s="160"/>
      <c r="I159" s="160"/>
      <c r="J159" s="160"/>
      <c r="K159" s="160"/>
      <c r="L159" s="160"/>
      <c r="M159" s="160"/>
      <c r="N159" s="180"/>
      <c r="O159" s="218"/>
      <c r="P159" s="214"/>
      <c r="Q159" s="215"/>
      <c r="R159" s="215"/>
      <c r="S159" s="215"/>
      <c r="T159" s="216"/>
      <c r="U159" s="10"/>
      <c r="V159" s="146"/>
      <c r="W159" s="146"/>
      <c r="X159" s="146"/>
      <c r="Y159" s="146"/>
      <c r="Z159" s="146"/>
      <c r="AA159" s="146"/>
      <c r="AB159" s="146"/>
      <c r="AC159" s="220"/>
      <c r="AD159" s="118"/>
      <c r="AE159" s="119"/>
      <c r="AF159" s="119"/>
      <c r="AG159" s="119"/>
      <c r="AH159" s="119"/>
      <c r="AI159" s="119"/>
      <c r="AJ159" s="119"/>
      <c r="AK159" s="120"/>
      <c r="AL159" s="10"/>
      <c r="AM159" s="10"/>
      <c r="AN159" s="10"/>
      <c r="AO159" s="10"/>
      <c r="AP159" s="10"/>
      <c r="AQ159" s="10"/>
      <c r="AR159" s="221"/>
      <c r="AS159" s="221"/>
      <c r="AT159" s="221"/>
      <c r="AU159" s="221"/>
      <c r="AV159" s="221"/>
      <c r="AW159" s="10"/>
      <c r="AX159" s="54"/>
      <c r="AY159" s="204"/>
      <c r="AZ159" s="205"/>
      <c r="BA159" s="205"/>
      <c r="BB159" s="205"/>
      <c r="BC159" s="205"/>
      <c r="BD159" s="205"/>
      <c r="BE159" s="205"/>
      <c r="BF159" s="206"/>
      <c r="BG159" s="51"/>
      <c r="BH159" s="51"/>
    </row>
    <row r="160" spans="1:60" ht="14.25" customHeight="1" x14ac:dyDescent="0.25">
      <c r="A160" s="51"/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4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</row>
    <row r="161" spans="1:60" ht="14.25" customHeight="1" x14ac:dyDescent="0.25">
      <c r="A161" s="51"/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</row>
    <row r="162" spans="1:60" ht="14.25" customHeight="1" x14ac:dyDescent="0.25">
      <c r="A162" s="51"/>
      <c r="B162" s="51"/>
      <c r="C162" s="143" t="s">
        <v>82</v>
      </c>
      <c r="D162" s="143"/>
      <c r="E162" s="143"/>
      <c r="F162" s="143"/>
      <c r="G162" s="211"/>
      <c r="H162" s="200"/>
      <c r="I162" s="218"/>
      <c r="J162" s="115"/>
      <c r="K162" s="212"/>
      <c r="L162" s="212"/>
      <c r="M162" s="212"/>
      <c r="N162" s="212"/>
      <c r="O162" s="212"/>
      <c r="P162" s="212"/>
      <c r="Q162" s="212"/>
      <c r="R162" s="212"/>
      <c r="S162" s="212"/>
      <c r="T162" s="212"/>
      <c r="U162" s="212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12"/>
      <c r="AF162" s="212"/>
      <c r="AG162" s="212"/>
      <c r="AH162" s="212"/>
      <c r="AI162" s="212"/>
      <c r="AJ162" s="212"/>
      <c r="AK162" s="212"/>
      <c r="AL162" s="212"/>
      <c r="AM162" s="212"/>
      <c r="AN162" s="213"/>
      <c r="AO162" s="51"/>
      <c r="AP162" s="163" t="s">
        <v>83</v>
      </c>
      <c r="AQ162" s="163"/>
      <c r="AR162" s="163"/>
      <c r="AS162" s="163"/>
      <c r="AT162" s="163"/>
      <c r="AU162" s="163"/>
      <c r="AV162" s="163"/>
      <c r="AW162" s="200"/>
      <c r="AX162" s="218"/>
      <c r="AY162" s="115"/>
      <c r="AZ162" s="116"/>
      <c r="BA162" s="116"/>
      <c r="BB162" s="116"/>
      <c r="BC162" s="116"/>
      <c r="BD162" s="116"/>
      <c r="BE162" s="116"/>
      <c r="BF162" s="117"/>
      <c r="BG162" s="51"/>
      <c r="BH162" s="51"/>
    </row>
    <row r="163" spans="1:60" ht="14.25" customHeight="1" x14ac:dyDescent="0.25">
      <c r="A163" s="54"/>
      <c r="B163" s="54"/>
      <c r="C163" s="143"/>
      <c r="D163" s="143"/>
      <c r="E163" s="143"/>
      <c r="F163" s="143"/>
      <c r="G163" s="211"/>
      <c r="H163" s="200"/>
      <c r="I163" s="218"/>
      <c r="J163" s="214"/>
      <c r="K163" s="215"/>
      <c r="L163" s="215"/>
      <c r="M163" s="215"/>
      <c r="N163" s="215"/>
      <c r="O163" s="215"/>
      <c r="P163" s="215"/>
      <c r="Q163" s="215"/>
      <c r="R163" s="215"/>
      <c r="S163" s="215"/>
      <c r="T163" s="215"/>
      <c r="U163" s="215"/>
      <c r="V163" s="215"/>
      <c r="W163" s="215"/>
      <c r="X163" s="215"/>
      <c r="Y163" s="215"/>
      <c r="Z163" s="215"/>
      <c r="AA163" s="215"/>
      <c r="AB163" s="215"/>
      <c r="AC163" s="215"/>
      <c r="AD163" s="215"/>
      <c r="AE163" s="215"/>
      <c r="AF163" s="215"/>
      <c r="AG163" s="215"/>
      <c r="AH163" s="215"/>
      <c r="AI163" s="215"/>
      <c r="AJ163" s="215"/>
      <c r="AK163" s="215"/>
      <c r="AL163" s="215"/>
      <c r="AM163" s="215"/>
      <c r="AN163" s="216"/>
      <c r="AO163" s="51"/>
      <c r="AP163" s="163"/>
      <c r="AQ163" s="163"/>
      <c r="AR163" s="163"/>
      <c r="AS163" s="163"/>
      <c r="AT163" s="163"/>
      <c r="AU163" s="163"/>
      <c r="AV163" s="163"/>
      <c r="AW163" s="200"/>
      <c r="AX163" s="218"/>
      <c r="AY163" s="118"/>
      <c r="AZ163" s="119"/>
      <c r="BA163" s="119"/>
      <c r="BB163" s="119"/>
      <c r="BC163" s="119"/>
      <c r="BD163" s="119"/>
      <c r="BE163" s="119"/>
      <c r="BF163" s="120"/>
      <c r="BG163" s="54"/>
      <c r="BH163" s="54"/>
    </row>
    <row r="164" spans="1:60" ht="14.25" customHeight="1" x14ac:dyDescent="0.25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</row>
    <row r="165" spans="1:60" ht="14.25" customHeight="1" x14ac:dyDescent="0.25">
      <c r="A165" s="54"/>
      <c r="B165" s="54"/>
      <c r="C165" s="160" t="s">
        <v>84</v>
      </c>
      <c r="D165" s="160"/>
      <c r="E165" s="160"/>
      <c r="F165" s="160"/>
      <c r="G165" s="160"/>
      <c r="H165" s="160"/>
      <c r="I165" s="160"/>
      <c r="J165" s="160"/>
      <c r="K165" s="160"/>
      <c r="L165" s="160"/>
      <c r="M165" s="160"/>
      <c r="N165" s="160"/>
      <c r="O165" s="160"/>
      <c r="P165" s="160"/>
      <c r="Q165" s="160"/>
      <c r="R165" s="160"/>
      <c r="S165" s="160"/>
      <c r="T165" s="160"/>
      <c r="U165" s="160"/>
      <c r="V165" s="160"/>
      <c r="W165" s="180"/>
      <c r="X165" s="222"/>
      <c r="Y165" s="223"/>
      <c r="Z165" s="94"/>
      <c r="AA165" s="212"/>
      <c r="AB165" s="212"/>
      <c r="AC165" s="212"/>
      <c r="AD165" s="212"/>
      <c r="AE165" s="212"/>
      <c r="AF165" s="212"/>
      <c r="AG165" s="212"/>
      <c r="AH165" s="212"/>
      <c r="AI165" s="212"/>
      <c r="AJ165" s="212"/>
      <c r="AK165" s="212"/>
      <c r="AL165" s="212"/>
      <c r="AM165" s="212"/>
      <c r="AN165" s="212"/>
      <c r="AO165" s="212"/>
      <c r="AP165" s="212"/>
      <c r="AQ165" s="212"/>
      <c r="AR165" s="212"/>
      <c r="AS165" s="212"/>
      <c r="AT165" s="212"/>
      <c r="AU165" s="212"/>
      <c r="AV165" s="212"/>
      <c r="AW165" s="212"/>
      <c r="AX165" s="212"/>
      <c r="AY165" s="212"/>
      <c r="AZ165" s="212"/>
      <c r="BA165" s="212"/>
      <c r="BB165" s="212"/>
      <c r="BC165" s="212"/>
      <c r="BD165" s="212"/>
      <c r="BE165" s="212"/>
      <c r="BF165" s="212"/>
      <c r="BG165" s="26"/>
      <c r="BH165" s="25"/>
    </row>
    <row r="166" spans="1:60" ht="14.25" customHeight="1" x14ac:dyDescent="0.25">
      <c r="A166" s="54"/>
      <c r="B166" s="54"/>
      <c r="C166" s="160"/>
      <c r="D166" s="160"/>
      <c r="E166" s="160"/>
      <c r="F166" s="160"/>
      <c r="G166" s="160"/>
      <c r="H166" s="160"/>
      <c r="I166" s="160"/>
      <c r="J166" s="160"/>
      <c r="K166" s="160"/>
      <c r="L166" s="160"/>
      <c r="M166" s="160"/>
      <c r="N166" s="160"/>
      <c r="O166" s="160"/>
      <c r="P166" s="160"/>
      <c r="Q166" s="160"/>
      <c r="R166" s="160"/>
      <c r="S166" s="160"/>
      <c r="T166" s="160"/>
      <c r="U166" s="160"/>
      <c r="V166" s="160"/>
      <c r="W166" s="180"/>
      <c r="X166" s="222"/>
      <c r="Y166" s="223"/>
      <c r="Z166" s="214"/>
      <c r="AA166" s="215"/>
      <c r="AB166" s="215"/>
      <c r="AC166" s="215"/>
      <c r="AD166" s="215"/>
      <c r="AE166" s="215"/>
      <c r="AF166" s="215"/>
      <c r="AG166" s="215"/>
      <c r="AH166" s="215"/>
      <c r="AI166" s="215"/>
      <c r="AJ166" s="215"/>
      <c r="AK166" s="215"/>
      <c r="AL166" s="215"/>
      <c r="AM166" s="215"/>
      <c r="AN166" s="215"/>
      <c r="AO166" s="215"/>
      <c r="AP166" s="215"/>
      <c r="AQ166" s="215"/>
      <c r="AR166" s="215"/>
      <c r="AS166" s="215"/>
      <c r="AT166" s="215"/>
      <c r="AU166" s="215"/>
      <c r="AV166" s="215"/>
      <c r="AW166" s="215"/>
      <c r="AX166" s="215"/>
      <c r="AY166" s="215"/>
      <c r="AZ166" s="215"/>
      <c r="BA166" s="215"/>
      <c r="BB166" s="215"/>
      <c r="BC166" s="215"/>
      <c r="BD166" s="215"/>
      <c r="BE166" s="215"/>
      <c r="BF166" s="215"/>
      <c r="BG166" s="26"/>
      <c r="BH166" s="25"/>
    </row>
    <row r="167" spans="1:60" ht="14.25" customHeight="1" x14ac:dyDescent="0.25">
      <c r="A167" s="54"/>
      <c r="B167" s="54"/>
      <c r="C167" s="50"/>
      <c r="D167" s="50"/>
      <c r="E167" s="50"/>
      <c r="F167" s="50"/>
      <c r="G167" s="50"/>
      <c r="H167" s="50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54"/>
      <c r="AE167" s="54"/>
      <c r="AF167" s="50"/>
      <c r="AG167" s="50"/>
      <c r="AH167" s="50"/>
      <c r="AI167" s="50"/>
      <c r="AJ167" s="50"/>
      <c r="AK167" s="50"/>
      <c r="AL167" s="25"/>
      <c r="AM167" s="25"/>
      <c r="AN167" s="25"/>
      <c r="AO167" s="25"/>
      <c r="AP167" s="25"/>
      <c r="AQ167" s="54"/>
      <c r="AR167" s="6"/>
      <c r="AS167" s="6"/>
      <c r="AT167" s="6"/>
      <c r="AU167" s="6"/>
      <c r="AV167" s="6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54"/>
      <c r="BH167" s="54"/>
    </row>
    <row r="168" spans="1:60" ht="14.25" customHeight="1" x14ac:dyDescent="0.25">
      <c r="A168" s="54"/>
      <c r="B168" s="54"/>
      <c r="C168" s="160" t="s">
        <v>92</v>
      </c>
      <c r="D168" s="160"/>
      <c r="E168" s="160"/>
      <c r="F168" s="160"/>
      <c r="G168" s="160"/>
      <c r="H168" s="160"/>
      <c r="I168" s="160"/>
      <c r="J168" s="160"/>
      <c r="K168" s="160"/>
      <c r="L168" s="160"/>
      <c r="M168" s="160"/>
      <c r="N168" s="160"/>
      <c r="O168" s="160"/>
      <c r="P168" s="160"/>
      <c r="Q168" s="160"/>
      <c r="R168" s="160"/>
      <c r="S168" s="160"/>
      <c r="T168" s="160"/>
      <c r="U168" s="160"/>
      <c r="V168" s="160"/>
      <c r="W168" s="180"/>
      <c r="X168" s="222"/>
      <c r="Y168" s="24"/>
      <c r="Z168" s="94"/>
      <c r="AA168" s="212"/>
      <c r="AB168" s="212"/>
      <c r="AC168" s="212"/>
      <c r="AD168" s="212"/>
      <c r="AE168" s="212"/>
      <c r="AF168" s="212"/>
      <c r="AG168" s="212"/>
      <c r="AH168" s="212"/>
      <c r="AI168" s="212"/>
      <c r="AJ168" s="212"/>
      <c r="AK168" s="212"/>
      <c r="AL168" s="212"/>
      <c r="AM168" s="212"/>
      <c r="AN168" s="212"/>
      <c r="AO168" s="212"/>
      <c r="AP168" s="212"/>
      <c r="AQ168" s="212"/>
      <c r="AR168" s="212"/>
      <c r="AS168" s="212"/>
      <c r="AT168" s="212"/>
      <c r="AU168" s="212"/>
      <c r="AV168" s="212"/>
      <c r="AW168" s="212"/>
      <c r="AX168" s="212"/>
      <c r="AY168" s="212"/>
      <c r="AZ168" s="212"/>
      <c r="BA168" s="212"/>
      <c r="BB168" s="212"/>
      <c r="BC168" s="212"/>
      <c r="BD168" s="212"/>
      <c r="BE168" s="212"/>
      <c r="BF168" s="213"/>
      <c r="BG168" s="26"/>
      <c r="BH168" s="25"/>
    </row>
    <row r="169" spans="1:60" ht="14.25" customHeight="1" x14ac:dyDescent="0.25">
      <c r="A169" s="54"/>
      <c r="B169" s="54"/>
      <c r="C169" s="160"/>
      <c r="D169" s="160"/>
      <c r="E169" s="160"/>
      <c r="F169" s="160"/>
      <c r="G169" s="160"/>
      <c r="H169" s="160"/>
      <c r="I169" s="160"/>
      <c r="J169" s="160"/>
      <c r="K169" s="160"/>
      <c r="L169" s="160"/>
      <c r="M169" s="160"/>
      <c r="N169" s="160"/>
      <c r="O169" s="160"/>
      <c r="P169" s="160"/>
      <c r="Q169" s="160"/>
      <c r="R169" s="160"/>
      <c r="S169" s="160"/>
      <c r="T169" s="160"/>
      <c r="U169" s="160"/>
      <c r="V169" s="160"/>
      <c r="W169" s="180"/>
      <c r="X169" s="222"/>
      <c r="Y169" s="24"/>
      <c r="Z169" s="214"/>
      <c r="AA169" s="215"/>
      <c r="AB169" s="215"/>
      <c r="AC169" s="215"/>
      <c r="AD169" s="215"/>
      <c r="AE169" s="215"/>
      <c r="AF169" s="215"/>
      <c r="AG169" s="215"/>
      <c r="AH169" s="215"/>
      <c r="AI169" s="215"/>
      <c r="AJ169" s="215"/>
      <c r="AK169" s="215"/>
      <c r="AL169" s="215"/>
      <c r="AM169" s="215"/>
      <c r="AN169" s="215"/>
      <c r="AO169" s="215"/>
      <c r="AP169" s="215"/>
      <c r="AQ169" s="215"/>
      <c r="AR169" s="215"/>
      <c r="AS169" s="215"/>
      <c r="AT169" s="215"/>
      <c r="AU169" s="215"/>
      <c r="AV169" s="215"/>
      <c r="AW169" s="215"/>
      <c r="AX169" s="215"/>
      <c r="AY169" s="215"/>
      <c r="AZ169" s="215"/>
      <c r="BA169" s="215"/>
      <c r="BB169" s="215"/>
      <c r="BC169" s="215"/>
      <c r="BD169" s="215"/>
      <c r="BE169" s="215"/>
      <c r="BF169" s="216"/>
      <c r="BG169" s="26"/>
      <c r="BH169" s="25"/>
    </row>
    <row r="170" spans="1:60" ht="14.25" customHeight="1" x14ac:dyDescent="0.25">
      <c r="A170" s="54"/>
      <c r="B170" s="54"/>
      <c r="C170" s="50"/>
      <c r="D170" s="50"/>
      <c r="E170" s="50"/>
      <c r="F170" s="50"/>
      <c r="G170" s="50"/>
      <c r="H170" s="54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54"/>
      <c r="AE170" s="54"/>
      <c r="AF170" s="50"/>
      <c r="AG170" s="50"/>
      <c r="AH170" s="50"/>
      <c r="AI170" s="50"/>
      <c r="AJ170" s="50"/>
      <c r="AK170" s="50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54"/>
      <c r="BH170" s="54"/>
    </row>
    <row r="171" spans="1:60" ht="14.25" customHeight="1" x14ac:dyDescent="0.25">
      <c r="A171" s="54"/>
      <c r="B171" s="54"/>
      <c r="C171" s="50"/>
      <c r="D171" s="50"/>
      <c r="E171" s="50"/>
      <c r="F171" s="50"/>
      <c r="G171" s="50"/>
      <c r="H171" s="54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54"/>
      <c r="AE171" s="54"/>
      <c r="AF171" s="50"/>
      <c r="AG171" s="50"/>
      <c r="AH171" s="50"/>
      <c r="AI171" s="50"/>
      <c r="AJ171" s="50"/>
      <c r="AK171" s="50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54"/>
      <c r="BH171" s="54"/>
    </row>
    <row r="172" spans="1:60" ht="14.25" customHeight="1" x14ac:dyDescent="0.25">
      <c r="A172" s="51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22"/>
      <c r="AP172" s="51"/>
      <c r="AQ172" s="51"/>
      <c r="AR172" s="51"/>
      <c r="AS172" s="51"/>
      <c r="AT172" s="51"/>
      <c r="AU172" s="51"/>
      <c r="AV172" s="51"/>
      <c r="AW172" s="55"/>
      <c r="AX172" s="12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</row>
    <row r="173" spans="1:60" ht="14.25" customHeight="1" x14ac:dyDescent="0.25">
      <c r="A173" s="51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22"/>
      <c r="AP173" s="51"/>
      <c r="AQ173" s="51"/>
      <c r="AR173" s="51"/>
      <c r="AS173" s="51"/>
      <c r="AT173" s="51"/>
      <c r="AU173" s="51"/>
      <c r="AV173" s="51"/>
      <c r="AW173" s="55"/>
      <c r="AX173" s="12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</row>
    <row r="174" spans="1:60" ht="14.25" customHeight="1" x14ac:dyDescent="0.25">
      <c r="A174" s="51"/>
      <c r="B174" s="51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1"/>
      <c r="BH174" s="51"/>
    </row>
    <row r="175" spans="1:60" ht="14.25" customHeight="1" x14ac:dyDescent="0.25">
      <c r="A175" s="51"/>
      <c r="B175" s="51"/>
      <c r="C175" s="54"/>
      <c r="D175" s="54"/>
      <c r="E175" s="54"/>
      <c r="F175" s="54"/>
      <c r="G175" s="54"/>
      <c r="H175" s="54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54"/>
      <c r="AQ175" s="53"/>
      <c r="AR175" s="53"/>
      <c r="AS175" s="53"/>
      <c r="AT175" s="53"/>
      <c r="AU175" s="53"/>
      <c r="AV175" s="53"/>
      <c r="AW175" s="53"/>
      <c r="AX175" s="13"/>
      <c r="AY175" s="22"/>
      <c r="AZ175" s="22"/>
      <c r="BA175" s="22"/>
      <c r="BB175" s="22"/>
      <c r="BC175" s="22"/>
      <c r="BD175" s="22"/>
      <c r="BE175" s="22"/>
      <c r="BF175" s="22"/>
      <c r="BG175" s="51"/>
      <c r="BH175" s="51"/>
    </row>
    <row r="176" spans="1:60" ht="14.25" customHeight="1" x14ac:dyDescent="0.25">
      <c r="A176" s="51"/>
      <c r="B176" s="51"/>
      <c r="C176" s="160" t="s">
        <v>85</v>
      </c>
      <c r="D176" s="224"/>
      <c r="E176" s="224"/>
      <c r="F176" s="224"/>
      <c r="G176" s="224"/>
      <c r="H176" s="224"/>
      <c r="I176" s="225"/>
      <c r="J176" s="115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  <c r="AA176" s="116"/>
      <c r="AB176" s="116"/>
      <c r="AC176" s="116"/>
      <c r="AD176" s="116"/>
      <c r="AE176" s="116"/>
      <c r="AF176" s="116"/>
      <c r="AG176" s="116"/>
      <c r="AH176" s="116"/>
      <c r="AI176" s="116"/>
      <c r="AJ176" s="116"/>
      <c r="AK176" s="116"/>
      <c r="AL176" s="116"/>
      <c r="AM176" s="116"/>
      <c r="AN176" s="116"/>
      <c r="AO176" s="116"/>
      <c r="AP176" s="116"/>
      <c r="AQ176" s="116"/>
      <c r="AR176" s="116"/>
      <c r="AS176" s="116"/>
      <c r="AT176" s="116"/>
      <c r="AU176" s="116"/>
      <c r="AV176" s="116"/>
      <c r="AW176" s="116"/>
      <c r="AX176" s="116"/>
      <c r="AY176" s="116"/>
      <c r="AZ176" s="116"/>
      <c r="BA176" s="116"/>
      <c r="BB176" s="116"/>
      <c r="BC176" s="116"/>
      <c r="BD176" s="116"/>
      <c r="BE176" s="116"/>
      <c r="BF176" s="117"/>
      <c r="BG176" s="51"/>
      <c r="BH176" s="51"/>
    </row>
    <row r="177" spans="1:60" ht="14.25" customHeight="1" x14ac:dyDescent="0.25">
      <c r="A177" s="51"/>
      <c r="B177" s="51"/>
      <c r="C177" s="224"/>
      <c r="D177" s="224"/>
      <c r="E177" s="224"/>
      <c r="F177" s="224"/>
      <c r="G177" s="224"/>
      <c r="H177" s="224"/>
      <c r="I177" s="225"/>
      <c r="J177" s="118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  <c r="AJ177" s="119"/>
      <c r="AK177" s="119"/>
      <c r="AL177" s="119"/>
      <c r="AM177" s="119"/>
      <c r="AN177" s="119"/>
      <c r="AO177" s="119"/>
      <c r="AP177" s="119"/>
      <c r="AQ177" s="119"/>
      <c r="AR177" s="119"/>
      <c r="AS177" s="119"/>
      <c r="AT177" s="119"/>
      <c r="AU177" s="119"/>
      <c r="AV177" s="119"/>
      <c r="AW177" s="119"/>
      <c r="AX177" s="119"/>
      <c r="AY177" s="119"/>
      <c r="AZ177" s="119"/>
      <c r="BA177" s="119"/>
      <c r="BB177" s="119"/>
      <c r="BC177" s="119"/>
      <c r="BD177" s="119"/>
      <c r="BE177" s="119"/>
      <c r="BF177" s="120"/>
      <c r="BG177" s="51"/>
      <c r="BH177" s="51"/>
    </row>
    <row r="178" spans="1:60" ht="14.25" customHeight="1" x14ac:dyDescent="0.25">
      <c r="A178" s="51"/>
      <c r="B178" s="51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5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12"/>
      <c r="AF178" s="16"/>
      <c r="AG178" s="16"/>
      <c r="AH178" s="16"/>
      <c r="AI178" s="16"/>
      <c r="AJ178" s="16"/>
      <c r="AK178" s="16"/>
      <c r="AL178" s="16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1"/>
      <c r="BH178" s="51"/>
    </row>
    <row r="179" spans="1:60" ht="14.25" customHeight="1" x14ac:dyDescent="0.25">
      <c r="A179" s="51"/>
      <c r="B179" s="51"/>
      <c r="C179" s="160" t="s">
        <v>86</v>
      </c>
      <c r="D179" s="160"/>
      <c r="E179" s="160"/>
      <c r="F179" s="160"/>
      <c r="G179" s="160"/>
      <c r="H179" s="160"/>
      <c r="I179" s="160"/>
      <c r="J179" s="160"/>
      <c r="K179" s="160"/>
      <c r="L179" s="160"/>
      <c r="M179" s="160"/>
      <c r="N179" s="180"/>
      <c r="O179" s="22"/>
      <c r="P179" s="24"/>
      <c r="Q179" s="94"/>
      <c r="R179" s="212"/>
      <c r="S179" s="212"/>
      <c r="T179" s="212"/>
      <c r="U179" s="212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12"/>
      <c r="AF179" s="212"/>
      <c r="AG179" s="212"/>
      <c r="AH179" s="212"/>
      <c r="AI179" s="212"/>
      <c r="AJ179" s="212"/>
      <c r="AK179" s="212"/>
      <c r="AL179" s="212"/>
      <c r="AM179" s="212"/>
      <c r="AN179" s="212"/>
      <c r="AO179" s="212"/>
      <c r="AP179" s="212"/>
      <c r="AQ179" s="212"/>
      <c r="AR179" s="212"/>
      <c r="AS179" s="212"/>
      <c r="AT179" s="212"/>
      <c r="AU179" s="212"/>
      <c r="AV179" s="212"/>
      <c r="AW179" s="212"/>
      <c r="AX179" s="212"/>
      <c r="AY179" s="212"/>
      <c r="AZ179" s="212"/>
      <c r="BA179" s="212"/>
      <c r="BB179" s="212"/>
      <c r="BC179" s="212"/>
      <c r="BD179" s="212"/>
      <c r="BE179" s="212"/>
      <c r="BF179" s="213"/>
      <c r="BG179" s="26"/>
      <c r="BH179" s="25"/>
    </row>
    <row r="180" spans="1:60" ht="14.25" customHeight="1" x14ac:dyDescent="0.25">
      <c r="A180" s="51"/>
      <c r="B180" s="51"/>
      <c r="C180" s="160"/>
      <c r="D180" s="160"/>
      <c r="E180" s="160"/>
      <c r="F180" s="160"/>
      <c r="G180" s="160"/>
      <c r="H180" s="160"/>
      <c r="I180" s="160"/>
      <c r="J180" s="160"/>
      <c r="K180" s="160"/>
      <c r="L180" s="160"/>
      <c r="M180" s="160"/>
      <c r="N180" s="180"/>
      <c r="O180" s="22"/>
      <c r="P180" s="24"/>
      <c r="Q180" s="214"/>
      <c r="R180" s="215"/>
      <c r="S180" s="215"/>
      <c r="T180" s="215"/>
      <c r="U180" s="215"/>
      <c r="V180" s="215"/>
      <c r="W180" s="215"/>
      <c r="X180" s="215"/>
      <c r="Y180" s="215"/>
      <c r="Z180" s="215"/>
      <c r="AA180" s="215"/>
      <c r="AB180" s="215"/>
      <c r="AC180" s="215"/>
      <c r="AD180" s="215"/>
      <c r="AE180" s="215"/>
      <c r="AF180" s="215"/>
      <c r="AG180" s="215"/>
      <c r="AH180" s="215"/>
      <c r="AI180" s="215"/>
      <c r="AJ180" s="215"/>
      <c r="AK180" s="215"/>
      <c r="AL180" s="215"/>
      <c r="AM180" s="215"/>
      <c r="AN180" s="215"/>
      <c r="AO180" s="215"/>
      <c r="AP180" s="215"/>
      <c r="AQ180" s="215"/>
      <c r="AR180" s="215"/>
      <c r="AS180" s="215"/>
      <c r="AT180" s="215"/>
      <c r="AU180" s="215"/>
      <c r="AV180" s="215"/>
      <c r="AW180" s="215"/>
      <c r="AX180" s="215"/>
      <c r="AY180" s="215"/>
      <c r="AZ180" s="215"/>
      <c r="BA180" s="215"/>
      <c r="BB180" s="215"/>
      <c r="BC180" s="215"/>
      <c r="BD180" s="215"/>
      <c r="BE180" s="215"/>
      <c r="BF180" s="216"/>
      <c r="BG180" s="26"/>
      <c r="BH180" s="25"/>
    </row>
    <row r="181" spans="1:60" ht="14.25" customHeight="1" x14ac:dyDescent="0.25">
      <c r="A181" s="51"/>
      <c r="B181" s="51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16"/>
      <c r="AQ181" s="16"/>
      <c r="AR181" s="16"/>
      <c r="AS181" s="16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1"/>
      <c r="BH181" s="51"/>
    </row>
    <row r="182" spans="1:60" ht="14.25" customHeight="1" x14ac:dyDescent="0.25">
      <c r="A182" s="51"/>
      <c r="B182" s="51"/>
      <c r="C182" s="160" t="s">
        <v>87</v>
      </c>
      <c r="D182" s="160"/>
      <c r="E182" s="160"/>
      <c r="F182" s="160"/>
      <c r="G182" s="160"/>
      <c r="H182" s="175"/>
      <c r="I182" s="200"/>
      <c r="J182" s="200"/>
      <c r="K182" s="200"/>
      <c r="L182" s="200"/>
      <c r="M182" s="200"/>
      <c r="N182" s="200"/>
      <c r="O182" s="22"/>
      <c r="P182" s="24"/>
      <c r="Q182" s="94"/>
      <c r="R182" s="212"/>
      <c r="S182" s="212"/>
      <c r="T182" s="212"/>
      <c r="U182" s="212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12"/>
      <c r="AF182" s="212"/>
      <c r="AG182" s="212"/>
      <c r="AH182" s="212"/>
      <c r="AI182" s="212"/>
      <c r="AJ182" s="212"/>
      <c r="AK182" s="212"/>
      <c r="AL182" s="212"/>
      <c r="AM182" s="212"/>
      <c r="AN182" s="212"/>
      <c r="AO182" s="212"/>
      <c r="AP182" s="212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3"/>
      <c r="BG182" s="26"/>
      <c r="BH182" s="25"/>
    </row>
    <row r="183" spans="1:60" ht="14.25" customHeight="1" x14ac:dyDescent="0.25">
      <c r="A183" s="51"/>
      <c r="B183" s="51"/>
      <c r="C183" s="160"/>
      <c r="D183" s="160"/>
      <c r="E183" s="160"/>
      <c r="F183" s="160"/>
      <c r="G183" s="160"/>
      <c r="H183" s="175"/>
      <c r="I183" s="200"/>
      <c r="J183" s="200"/>
      <c r="K183" s="200"/>
      <c r="L183" s="200"/>
      <c r="M183" s="200"/>
      <c r="N183" s="200"/>
      <c r="O183" s="22"/>
      <c r="P183" s="24"/>
      <c r="Q183" s="214"/>
      <c r="R183" s="215"/>
      <c r="S183" s="215"/>
      <c r="T183" s="215"/>
      <c r="U183" s="215"/>
      <c r="V183" s="215"/>
      <c r="W183" s="215"/>
      <c r="X183" s="215"/>
      <c r="Y183" s="215"/>
      <c r="Z183" s="215"/>
      <c r="AA183" s="215"/>
      <c r="AB183" s="215"/>
      <c r="AC183" s="215"/>
      <c r="AD183" s="215"/>
      <c r="AE183" s="215"/>
      <c r="AF183" s="215"/>
      <c r="AG183" s="215"/>
      <c r="AH183" s="215"/>
      <c r="AI183" s="215"/>
      <c r="AJ183" s="215"/>
      <c r="AK183" s="215"/>
      <c r="AL183" s="215"/>
      <c r="AM183" s="215"/>
      <c r="AN183" s="215"/>
      <c r="AO183" s="215"/>
      <c r="AP183" s="215"/>
      <c r="AQ183" s="215"/>
      <c r="AR183" s="215"/>
      <c r="AS183" s="215"/>
      <c r="AT183" s="215"/>
      <c r="AU183" s="215"/>
      <c r="AV183" s="215"/>
      <c r="AW183" s="215"/>
      <c r="AX183" s="215"/>
      <c r="AY183" s="215"/>
      <c r="AZ183" s="215"/>
      <c r="BA183" s="215"/>
      <c r="BB183" s="215"/>
      <c r="BC183" s="215"/>
      <c r="BD183" s="215"/>
      <c r="BE183" s="215"/>
      <c r="BF183" s="216"/>
      <c r="BG183" s="26"/>
      <c r="BH183" s="25"/>
    </row>
    <row r="184" spans="1:60" ht="14.25" customHeight="1" x14ac:dyDescent="0.25">
      <c r="A184" s="51"/>
      <c r="B184" s="51"/>
      <c r="C184" s="210"/>
      <c r="D184" s="217"/>
      <c r="E184" s="217"/>
      <c r="F184" s="217"/>
      <c r="G184" s="217"/>
      <c r="H184" s="217"/>
      <c r="I184" s="217"/>
      <c r="J184" s="217"/>
      <c r="K184" s="217"/>
      <c r="L184" s="217"/>
      <c r="M184" s="217"/>
      <c r="N184" s="217"/>
      <c r="O184" s="217"/>
      <c r="P184" s="217"/>
      <c r="Q184" s="217"/>
      <c r="R184" s="217"/>
      <c r="S184" s="217"/>
      <c r="T184" s="217"/>
      <c r="U184" s="217"/>
      <c r="V184" s="217"/>
      <c r="W184" s="217"/>
      <c r="X184" s="217"/>
      <c r="Y184" s="217"/>
      <c r="Z184" s="217"/>
      <c r="AA184" s="217"/>
      <c r="AB184" s="217"/>
      <c r="AC184" s="217"/>
      <c r="AD184" s="217"/>
      <c r="AE184" s="217"/>
      <c r="AF184" s="217"/>
      <c r="AG184" s="217"/>
      <c r="AH184" s="217"/>
      <c r="AI184" s="217"/>
      <c r="AJ184" s="217"/>
      <c r="AK184" s="217"/>
      <c r="AL184" s="217"/>
      <c r="AM184" s="217"/>
      <c r="AN184" s="217"/>
      <c r="AO184" s="217"/>
      <c r="AP184" s="217"/>
      <c r="AQ184" s="217"/>
      <c r="AR184" s="217"/>
      <c r="AS184" s="217"/>
      <c r="AT184" s="217"/>
      <c r="AU184" s="217"/>
      <c r="AV184" s="217"/>
      <c r="AW184" s="217"/>
      <c r="AX184" s="217"/>
      <c r="AY184" s="217"/>
      <c r="AZ184" s="217"/>
      <c r="BA184" s="217"/>
      <c r="BB184" s="217"/>
      <c r="BC184" s="217"/>
      <c r="BD184" s="217"/>
      <c r="BE184" s="217"/>
      <c r="BF184" s="217"/>
      <c r="BG184" s="51"/>
      <c r="BH184" s="51"/>
    </row>
    <row r="185" spans="1:60" ht="14.25" customHeight="1" x14ac:dyDescent="0.25">
      <c r="A185" s="51"/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  <c r="BG185" s="51"/>
      <c r="BH185" s="51"/>
    </row>
    <row r="186" spans="1:60" ht="14.25" customHeight="1" x14ac:dyDescent="0.25">
      <c r="A186" s="51"/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  <c r="BG186" s="51"/>
      <c r="BH186" s="51"/>
    </row>
    <row r="187" spans="1:60" ht="14.25" customHeight="1" x14ac:dyDescent="0.25">
      <c r="A187" s="51"/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  <c r="BG187" s="51"/>
      <c r="BH187" s="51"/>
    </row>
    <row r="188" spans="1:60" ht="14.25" customHeight="1" x14ac:dyDescent="0.25">
      <c r="A188" s="51"/>
      <c r="B188" s="51"/>
      <c r="C188" s="160" t="s">
        <v>302</v>
      </c>
      <c r="D188" s="160"/>
      <c r="E188" s="160"/>
      <c r="F188" s="160"/>
      <c r="G188" s="160"/>
      <c r="H188" s="175"/>
      <c r="I188" s="169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Z188" s="170"/>
      <c r="AA188" s="170"/>
      <c r="AB188" s="170"/>
      <c r="AC188" s="171"/>
      <c r="AD188" s="51"/>
      <c r="AE188" s="160" t="s">
        <v>303</v>
      </c>
      <c r="AF188" s="200"/>
      <c r="AG188" s="200"/>
      <c r="AH188" s="200"/>
      <c r="AI188" s="200"/>
      <c r="AJ188" s="200"/>
      <c r="AK188" s="218"/>
      <c r="AL188" s="94"/>
      <c r="AM188" s="95"/>
      <c r="AN188" s="95"/>
      <c r="AO188" s="95"/>
      <c r="AP188" s="96"/>
      <c r="AQ188" s="229" t="s">
        <v>304</v>
      </c>
      <c r="AR188" s="200"/>
      <c r="AS188" s="200"/>
      <c r="AT188" s="200"/>
      <c r="AU188" s="200"/>
      <c r="AV188" s="218"/>
      <c r="AW188" s="169"/>
      <c r="AX188" s="170"/>
      <c r="AY188" s="170"/>
      <c r="AZ188" s="170"/>
      <c r="BA188" s="170"/>
      <c r="BB188" s="170"/>
      <c r="BC188" s="170"/>
      <c r="BD188" s="170"/>
      <c r="BE188" s="170"/>
      <c r="BF188" s="171"/>
      <c r="BG188" s="51"/>
      <c r="BH188" s="51"/>
    </row>
    <row r="189" spans="1:60" ht="14.25" customHeight="1" x14ac:dyDescent="0.25">
      <c r="A189" s="51"/>
      <c r="B189" s="51"/>
      <c r="C189" s="160"/>
      <c r="D189" s="160"/>
      <c r="E189" s="160"/>
      <c r="F189" s="160"/>
      <c r="G189" s="160"/>
      <c r="H189" s="175"/>
      <c r="I189" s="172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3"/>
      <c r="V189" s="173"/>
      <c r="W189" s="173"/>
      <c r="X189" s="173"/>
      <c r="Y189" s="173"/>
      <c r="Z189" s="173"/>
      <c r="AA189" s="173"/>
      <c r="AB189" s="173"/>
      <c r="AC189" s="174"/>
      <c r="AD189" s="51"/>
      <c r="AE189" s="200"/>
      <c r="AF189" s="200"/>
      <c r="AG189" s="200"/>
      <c r="AH189" s="200"/>
      <c r="AI189" s="200"/>
      <c r="AJ189" s="200"/>
      <c r="AK189" s="218"/>
      <c r="AL189" s="97"/>
      <c r="AM189" s="98"/>
      <c r="AN189" s="98"/>
      <c r="AO189" s="98"/>
      <c r="AP189" s="99"/>
      <c r="AQ189" s="233"/>
      <c r="AR189" s="200"/>
      <c r="AS189" s="200"/>
      <c r="AT189" s="200"/>
      <c r="AU189" s="200"/>
      <c r="AV189" s="218"/>
      <c r="AW189" s="172"/>
      <c r="AX189" s="173"/>
      <c r="AY189" s="173"/>
      <c r="AZ189" s="173"/>
      <c r="BA189" s="173"/>
      <c r="BB189" s="173"/>
      <c r="BC189" s="173"/>
      <c r="BD189" s="173"/>
      <c r="BE189" s="173"/>
      <c r="BF189" s="174"/>
      <c r="BG189" s="51"/>
      <c r="BH189" s="51"/>
    </row>
    <row r="190" spans="1:60" ht="14.25" customHeight="1" x14ac:dyDescent="0.25">
      <c r="A190" s="51"/>
      <c r="B190" s="51"/>
      <c r="C190" s="49"/>
      <c r="D190" s="49"/>
      <c r="E190" s="49"/>
      <c r="F190" s="49"/>
      <c r="G190" s="49"/>
      <c r="H190" s="49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49"/>
      <c r="AG190" s="49"/>
      <c r="AH190" s="49"/>
      <c r="AI190" s="49"/>
      <c r="AJ190" s="49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  <c r="BG190" s="51"/>
      <c r="BH190" s="51"/>
    </row>
    <row r="191" spans="1:60" ht="14.25" customHeight="1" x14ac:dyDescent="0.25">
      <c r="A191" s="51"/>
      <c r="B191" s="51"/>
      <c r="C191" s="160" t="s">
        <v>305</v>
      </c>
      <c r="D191" s="160"/>
      <c r="E191" s="160"/>
      <c r="F191" s="160"/>
      <c r="G191" s="160"/>
      <c r="H191" s="51"/>
      <c r="I191" s="169"/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Z191" s="170"/>
      <c r="AA191" s="170"/>
      <c r="AB191" s="170"/>
      <c r="AC191" s="171"/>
      <c r="AD191" s="51"/>
      <c r="AE191" s="160" t="s">
        <v>306</v>
      </c>
      <c r="AF191" s="200"/>
      <c r="AG191" s="200"/>
      <c r="AH191" s="200"/>
      <c r="AI191" s="200"/>
      <c r="AJ191" s="200"/>
      <c r="AK191" s="218"/>
      <c r="AL191" s="169"/>
      <c r="AM191" s="170"/>
      <c r="AN191" s="170"/>
      <c r="AO191" s="170"/>
      <c r="AP191" s="170"/>
      <c r="AQ191" s="170"/>
      <c r="AR191" s="170"/>
      <c r="AS191" s="170"/>
      <c r="AT191" s="170"/>
      <c r="AU191" s="170"/>
      <c r="AV191" s="170"/>
      <c r="AW191" s="170"/>
      <c r="AX191" s="170"/>
      <c r="AY191" s="170"/>
      <c r="AZ191" s="170"/>
      <c r="BA191" s="170"/>
      <c r="BB191" s="170"/>
      <c r="BC191" s="170"/>
      <c r="BD191" s="170"/>
      <c r="BE191" s="170"/>
      <c r="BF191" s="171"/>
      <c r="BG191" s="51"/>
      <c r="BH191" s="51"/>
    </row>
    <row r="192" spans="1:60" ht="14.25" customHeight="1" x14ac:dyDescent="0.25">
      <c r="A192" s="51"/>
      <c r="B192" s="51"/>
      <c r="C192" s="160"/>
      <c r="D192" s="160"/>
      <c r="E192" s="160"/>
      <c r="F192" s="160"/>
      <c r="G192" s="160"/>
      <c r="H192" s="51"/>
      <c r="I192" s="172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4"/>
      <c r="AD192" s="51"/>
      <c r="AE192" s="200"/>
      <c r="AF192" s="200"/>
      <c r="AG192" s="200"/>
      <c r="AH192" s="200"/>
      <c r="AI192" s="200"/>
      <c r="AJ192" s="200"/>
      <c r="AK192" s="218"/>
      <c r="AL192" s="172"/>
      <c r="AM192" s="173"/>
      <c r="AN192" s="173"/>
      <c r="AO192" s="173"/>
      <c r="AP192" s="173"/>
      <c r="AQ192" s="173"/>
      <c r="AR192" s="173"/>
      <c r="AS192" s="173"/>
      <c r="AT192" s="173"/>
      <c r="AU192" s="173"/>
      <c r="AV192" s="173"/>
      <c r="AW192" s="173"/>
      <c r="AX192" s="173"/>
      <c r="AY192" s="173"/>
      <c r="AZ192" s="173"/>
      <c r="BA192" s="173"/>
      <c r="BB192" s="173"/>
      <c r="BC192" s="173"/>
      <c r="BD192" s="173"/>
      <c r="BE192" s="173"/>
      <c r="BF192" s="174"/>
      <c r="BG192" s="51"/>
      <c r="BH192" s="51"/>
    </row>
    <row r="193" spans="1:60" ht="14.25" customHeight="1" x14ac:dyDescent="0.25">
      <c r="A193" s="51"/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49"/>
      <c r="AG193" s="49"/>
      <c r="AH193" s="49"/>
      <c r="AI193" s="49"/>
      <c r="AJ193" s="49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  <c r="BG193" s="51"/>
      <c r="BH193" s="51"/>
    </row>
    <row r="194" spans="1:60" ht="14.25" customHeight="1" x14ac:dyDescent="0.25">
      <c r="A194" s="51"/>
      <c r="B194" s="51"/>
      <c r="C194" s="160" t="s">
        <v>307</v>
      </c>
      <c r="D194" s="160"/>
      <c r="E194" s="160"/>
      <c r="F194" s="160"/>
      <c r="G194" s="160"/>
      <c r="H194" s="51"/>
      <c r="I194" s="169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70"/>
      <c r="V194" s="170"/>
      <c r="W194" s="170"/>
      <c r="X194" s="170"/>
      <c r="Y194" s="170"/>
      <c r="Z194" s="170"/>
      <c r="AA194" s="170"/>
      <c r="AB194" s="170"/>
      <c r="AC194" s="171"/>
      <c r="AD194" s="51"/>
      <c r="AE194" s="239" t="s">
        <v>329</v>
      </c>
      <c r="AF194" s="239"/>
      <c r="AG194" s="239"/>
      <c r="AH194" s="239"/>
      <c r="AI194" s="239"/>
      <c r="AJ194" s="239"/>
      <c r="AK194" s="239"/>
      <c r="AL194" s="239"/>
      <c r="AM194" s="239"/>
      <c r="AN194" s="239"/>
      <c r="AO194" s="239"/>
      <c r="AP194" s="239"/>
      <c r="AQ194" s="239"/>
      <c r="AR194" s="239"/>
      <c r="AS194" s="239"/>
      <c r="AT194" s="94" t="s">
        <v>46</v>
      </c>
      <c r="AU194" s="95"/>
      <c r="AV194" s="95"/>
      <c r="AW194" s="96"/>
      <c r="AX194" s="36"/>
      <c r="AY194" s="162" t="s">
        <v>308</v>
      </c>
      <c r="AZ194" s="162"/>
      <c r="BA194" s="240"/>
      <c r="BB194" s="115"/>
      <c r="BC194" s="116"/>
      <c r="BD194" s="116"/>
      <c r="BE194" s="116"/>
      <c r="BF194" s="117"/>
      <c r="BG194" s="51"/>
      <c r="BH194" s="51"/>
    </row>
    <row r="195" spans="1:60" ht="14.25" customHeight="1" x14ac:dyDescent="0.25">
      <c r="A195" s="51"/>
      <c r="B195" s="51"/>
      <c r="C195" s="160"/>
      <c r="D195" s="160"/>
      <c r="E195" s="160"/>
      <c r="F195" s="160"/>
      <c r="G195" s="160"/>
      <c r="H195" s="51"/>
      <c r="I195" s="172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4"/>
      <c r="AD195" s="51"/>
      <c r="AE195" s="239"/>
      <c r="AF195" s="239"/>
      <c r="AG195" s="239"/>
      <c r="AH195" s="239"/>
      <c r="AI195" s="239"/>
      <c r="AJ195" s="239"/>
      <c r="AK195" s="239"/>
      <c r="AL195" s="239"/>
      <c r="AM195" s="239"/>
      <c r="AN195" s="239"/>
      <c r="AO195" s="239"/>
      <c r="AP195" s="239"/>
      <c r="AQ195" s="239"/>
      <c r="AR195" s="239"/>
      <c r="AS195" s="239"/>
      <c r="AT195" s="97"/>
      <c r="AU195" s="98"/>
      <c r="AV195" s="98"/>
      <c r="AW195" s="99"/>
      <c r="AX195" s="36"/>
      <c r="AY195" s="162"/>
      <c r="AZ195" s="162"/>
      <c r="BA195" s="240"/>
      <c r="BB195" s="118"/>
      <c r="BC195" s="119"/>
      <c r="BD195" s="119"/>
      <c r="BE195" s="119"/>
      <c r="BF195" s="120"/>
      <c r="BG195" s="51"/>
      <c r="BH195" s="51"/>
    </row>
    <row r="196" spans="1:60" ht="14.25" customHeight="1" x14ac:dyDescent="0.25">
      <c r="A196" s="51"/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/>
      <c r="BH196" s="51"/>
    </row>
    <row r="197" spans="1:60" ht="14.25" customHeight="1" x14ac:dyDescent="0.25">
      <c r="A197" s="51"/>
      <c r="B197" s="51"/>
      <c r="C197" s="143" t="s">
        <v>309</v>
      </c>
      <c r="D197" s="143"/>
      <c r="E197" s="143"/>
      <c r="F197" s="143"/>
      <c r="G197" s="143"/>
      <c r="H197" s="51"/>
      <c r="I197" s="100" t="s">
        <v>31</v>
      </c>
      <c r="J197" s="101"/>
      <c r="K197" s="101"/>
      <c r="L197" s="101"/>
      <c r="M197" s="101"/>
      <c r="N197" s="101"/>
      <c r="O197" s="101"/>
      <c r="P197" s="101"/>
      <c r="Q197" s="241"/>
      <c r="R197" s="241"/>
      <c r="S197" s="241"/>
      <c r="T197" s="241"/>
      <c r="U197" s="241"/>
      <c r="V197" s="242"/>
      <c r="W197" s="146" t="s">
        <v>310</v>
      </c>
      <c r="X197" s="146"/>
      <c r="Y197" s="146"/>
      <c r="Z197" s="218"/>
      <c r="AA197" s="115"/>
      <c r="AB197" s="212"/>
      <c r="AC197" s="212"/>
      <c r="AD197" s="213"/>
      <c r="AE197" s="146" t="s">
        <v>311</v>
      </c>
      <c r="AF197" s="200"/>
      <c r="AG197" s="200"/>
      <c r="AH197" s="200"/>
      <c r="AI197" s="218"/>
      <c r="AJ197" s="115"/>
      <c r="AK197" s="133"/>
      <c r="AL197" s="133"/>
      <c r="AM197" s="133"/>
      <c r="AN197" s="133"/>
      <c r="AO197" s="133"/>
      <c r="AP197" s="133"/>
      <c r="AQ197" s="134"/>
      <c r="AR197" s="19"/>
      <c r="AS197" s="221" t="s">
        <v>312</v>
      </c>
      <c r="AT197" s="221"/>
      <c r="AU197" s="221"/>
      <c r="AV197" s="221"/>
      <c r="AW197" s="221"/>
      <c r="AX197" s="167"/>
      <c r="AY197" s="94"/>
      <c r="AZ197" s="95"/>
      <c r="BA197" s="95"/>
      <c r="BB197" s="95"/>
      <c r="BC197" s="95"/>
      <c r="BD197" s="95"/>
      <c r="BE197" s="95"/>
      <c r="BF197" s="96"/>
      <c r="BG197" s="51"/>
      <c r="BH197" s="51"/>
    </row>
    <row r="198" spans="1:60" ht="14.25" customHeight="1" x14ac:dyDescent="0.25">
      <c r="A198" s="51"/>
      <c r="B198" s="51"/>
      <c r="C198" s="143"/>
      <c r="D198" s="143"/>
      <c r="E198" s="143"/>
      <c r="F198" s="143"/>
      <c r="G198" s="143"/>
      <c r="H198" s="51"/>
      <c r="I198" s="103"/>
      <c r="J198" s="104"/>
      <c r="K198" s="104"/>
      <c r="L198" s="104"/>
      <c r="M198" s="104"/>
      <c r="N198" s="104"/>
      <c r="O198" s="104"/>
      <c r="P198" s="104"/>
      <c r="Q198" s="243"/>
      <c r="R198" s="243"/>
      <c r="S198" s="243"/>
      <c r="T198" s="243"/>
      <c r="U198" s="243"/>
      <c r="V198" s="244"/>
      <c r="W198" s="146"/>
      <c r="X198" s="146"/>
      <c r="Y198" s="146"/>
      <c r="Z198" s="218"/>
      <c r="AA198" s="214"/>
      <c r="AB198" s="215"/>
      <c r="AC198" s="215"/>
      <c r="AD198" s="216"/>
      <c r="AE198" s="200"/>
      <c r="AF198" s="200"/>
      <c r="AG198" s="200"/>
      <c r="AH198" s="200"/>
      <c r="AI198" s="218"/>
      <c r="AJ198" s="135"/>
      <c r="AK198" s="136"/>
      <c r="AL198" s="136"/>
      <c r="AM198" s="136"/>
      <c r="AN198" s="136"/>
      <c r="AO198" s="136"/>
      <c r="AP198" s="136"/>
      <c r="AQ198" s="137"/>
      <c r="AR198" s="19"/>
      <c r="AS198" s="221"/>
      <c r="AT198" s="221"/>
      <c r="AU198" s="221"/>
      <c r="AV198" s="221"/>
      <c r="AW198" s="221"/>
      <c r="AX198" s="167"/>
      <c r="AY198" s="97"/>
      <c r="AZ198" s="98"/>
      <c r="BA198" s="98"/>
      <c r="BB198" s="98"/>
      <c r="BC198" s="98"/>
      <c r="BD198" s="98"/>
      <c r="BE198" s="98"/>
      <c r="BF198" s="99"/>
      <c r="BG198" s="51"/>
      <c r="BH198" s="51"/>
    </row>
    <row r="199" spans="1:60" ht="14.25" customHeight="1" x14ac:dyDescent="0.25">
      <c r="A199" s="51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  <c r="BG199" s="51"/>
      <c r="BH199" s="51"/>
    </row>
    <row r="200" spans="1:60" ht="14.25" customHeight="1" x14ac:dyDescent="0.25">
      <c r="A200" s="51"/>
      <c r="B200" s="51"/>
      <c r="C200" s="143" t="s">
        <v>313</v>
      </c>
      <c r="D200" s="143"/>
      <c r="E200" s="143"/>
      <c r="F200" s="143"/>
      <c r="G200" s="143"/>
      <c r="H200" s="218"/>
      <c r="I200" s="115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7"/>
      <c r="AP200" s="145" t="s">
        <v>314</v>
      </c>
      <c r="AQ200" s="200"/>
      <c r="AR200" s="200"/>
      <c r="AS200" s="200"/>
      <c r="AT200" s="200"/>
      <c r="AU200" s="200"/>
      <c r="AV200" s="200"/>
      <c r="AW200" s="200"/>
      <c r="AX200" s="218"/>
      <c r="AY200" s="115"/>
      <c r="AZ200" s="116"/>
      <c r="BA200" s="116"/>
      <c r="BB200" s="116"/>
      <c r="BC200" s="116"/>
      <c r="BD200" s="116"/>
      <c r="BE200" s="116"/>
      <c r="BF200" s="117"/>
      <c r="BG200" s="51"/>
      <c r="BH200" s="51"/>
    </row>
    <row r="201" spans="1:60" ht="14.25" customHeight="1" x14ac:dyDescent="0.25">
      <c r="A201" s="51"/>
      <c r="B201" s="51"/>
      <c r="C201" s="143"/>
      <c r="D201" s="143"/>
      <c r="E201" s="143"/>
      <c r="F201" s="143"/>
      <c r="G201" s="143"/>
      <c r="H201" s="218"/>
      <c r="I201" s="118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  <c r="AA201" s="119"/>
      <c r="AB201" s="119"/>
      <c r="AC201" s="119"/>
      <c r="AD201" s="119"/>
      <c r="AE201" s="119"/>
      <c r="AF201" s="119"/>
      <c r="AG201" s="119"/>
      <c r="AH201" s="119"/>
      <c r="AI201" s="119"/>
      <c r="AJ201" s="119"/>
      <c r="AK201" s="119"/>
      <c r="AL201" s="119"/>
      <c r="AM201" s="119"/>
      <c r="AN201" s="119"/>
      <c r="AO201" s="120"/>
      <c r="AP201" s="233"/>
      <c r="AQ201" s="200"/>
      <c r="AR201" s="200"/>
      <c r="AS201" s="200"/>
      <c r="AT201" s="200"/>
      <c r="AU201" s="200"/>
      <c r="AV201" s="200"/>
      <c r="AW201" s="200"/>
      <c r="AX201" s="218"/>
      <c r="AY201" s="118"/>
      <c r="AZ201" s="119"/>
      <c r="BA201" s="119"/>
      <c r="BB201" s="119"/>
      <c r="BC201" s="119"/>
      <c r="BD201" s="119"/>
      <c r="BE201" s="119"/>
      <c r="BF201" s="120"/>
      <c r="BG201" s="51"/>
      <c r="BH201" s="51"/>
    </row>
    <row r="202" spans="1:60" ht="14.25" customHeight="1" x14ac:dyDescent="0.25">
      <c r="A202" s="51"/>
      <c r="B202" s="51"/>
      <c r="C202" s="234" t="s">
        <v>38</v>
      </c>
      <c r="D202" s="234"/>
      <c r="E202" s="234"/>
      <c r="F202" s="234"/>
      <c r="G202" s="234"/>
      <c r="H202" s="234"/>
      <c r="I202" s="234"/>
      <c r="J202" s="234"/>
      <c r="K202" s="234"/>
      <c r="L202" s="234"/>
      <c r="M202" s="234"/>
      <c r="N202" s="234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51"/>
      <c r="AQ202" s="53"/>
      <c r="AR202" s="53"/>
      <c r="AS202" s="53"/>
      <c r="AT202" s="53"/>
      <c r="AU202" s="53"/>
      <c r="AV202" s="53"/>
      <c r="AW202" s="53"/>
      <c r="AX202" s="13"/>
      <c r="AY202" s="22"/>
      <c r="AZ202" s="22"/>
      <c r="BA202" s="22"/>
      <c r="BB202" s="22"/>
      <c r="BC202" s="22"/>
      <c r="BD202" s="22"/>
      <c r="BE202" s="22"/>
      <c r="BF202" s="22"/>
      <c r="BG202" s="51"/>
      <c r="BH202" s="51"/>
    </row>
    <row r="203" spans="1:60" ht="14.25" customHeight="1" x14ac:dyDescent="0.25">
      <c r="A203" s="51"/>
      <c r="B203" s="51"/>
      <c r="C203" s="234"/>
      <c r="D203" s="234"/>
      <c r="E203" s="234"/>
      <c r="F203" s="234"/>
      <c r="G203" s="234"/>
      <c r="H203" s="234"/>
      <c r="I203" s="234"/>
      <c r="J203" s="234"/>
      <c r="K203" s="234"/>
      <c r="L203" s="234"/>
      <c r="M203" s="234"/>
      <c r="N203" s="234"/>
      <c r="O203" s="52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235" t="s">
        <v>331</v>
      </c>
      <c r="AF203" s="236"/>
      <c r="AG203" s="236"/>
      <c r="AH203" s="236"/>
      <c r="AI203" s="236"/>
      <c r="AJ203" s="236"/>
      <c r="AK203" s="236"/>
      <c r="AL203" s="236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  <c r="BG203" s="51"/>
      <c r="BH203" s="51"/>
    </row>
    <row r="204" spans="1:60" ht="14.25" customHeight="1" x14ac:dyDescent="0.25">
      <c r="A204" s="51"/>
      <c r="B204" s="51"/>
      <c r="C204" s="237" t="s">
        <v>315</v>
      </c>
      <c r="D204" s="237"/>
      <c r="E204" s="237"/>
      <c r="F204" s="237"/>
      <c r="G204" s="237"/>
      <c r="H204" s="237"/>
      <c r="I204" s="237"/>
      <c r="J204" s="237"/>
      <c r="K204" s="238"/>
      <c r="L204" s="115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7"/>
      <c r="AD204" s="51"/>
      <c r="AE204" s="236"/>
      <c r="AF204" s="236"/>
      <c r="AG204" s="236"/>
      <c r="AH204" s="236"/>
      <c r="AI204" s="236"/>
      <c r="AJ204" s="236"/>
      <c r="AK204" s="236"/>
      <c r="AL204" s="236"/>
      <c r="AM204" s="115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7"/>
      <c r="BG204" s="51"/>
      <c r="BH204" s="51"/>
    </row>
    <row r="205" spans="1:60" ht="14.25" customHeight="1" x14ac:dyDescent="0.25">
      <c r="A205" s="51"/>
      <c r="B205" s="51"/>
      <c r="C205" s="237"/>
      <c r="D205" s="237"/>
      <c r="E205" s="237"/>
      <c r="F205" s="237"/>
      <c r="G205" s="237"/>
      <c r="H205" s="237"/>
      <c r="I205" s="237"/>
      <c r="J205" s="237"/>
      <c r="K205" s="238"/>
      <c r="L205" s="118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  <c r="AA205" s="119"/>
      <c r="AB205" s="119"/>
      <c r="AC205" s="120"/>
      <c r="AD205" s="51"/>
      <c r="AE205" s="236"/>
      <c r="AF205" s="236"/>
      <c r="AG205" s="236"/>
      <c r="AH205" s="236"/>
      <c r="AI205" s="236"/>
      <c r="AJ205" s="236"/>
      <c r="AK205" s="236"/>
      <c r="AL205" s="236"/>
      <c r="AM205" s="118"/>
      <c r="AN205" s="119"/>
      <c r="AO205" s="119"/>
      <c r="AP205" s="119"/>
      <c r="AQ205" s="119"/>
      <c r="AR205" s="119"/>
      <c r="AS205" s="119"/>
      <c r="AT205" s="119"/>
      <c r="AU205" s="119"/>
      <c r="AV205" s="119"/>
      <c r="AW205" s="119"/>
      <c r="AX205" s="119"/>
      <c r="AY205" s="119"/>
      <c r="AZ205" s="119"/>
      <c r="BA205" s="119"/>
      <c r="BB205" s="119"/>
      <c r="BC205" s="119"/>
      <c r="BD205" s="119"/>
      <c r="BE205" s="119"/>
      <c r="BF205" s="120"/>
      <c r="BG205" s="51"/>
      <c r="BH205" s="51"/>
    </row>
    <row r="206" spans="1:60" ht="14.25" customHeight="1" x14ac:dyDescent="0.25">
      <c r="A206" s="51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226" t="s">
        <v>316</v>
      </c>
      <c r="AP206" s="227"/>
      <c r="AQ206" s="227"/>
      <c r="AR206" s="227"/>
      <c r="AS206" s="227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  <c r="BG206" s="51"/>
      <c r="BH206" s="51"/>
    </row>
    <row r="207" spans="1:60" ht="14.25" customHeight="1" x14ac:dyDescent="0.25">
      <c r="A207" s="51"/>
      <c r="B207" s="51"/>
      <c r="C207" s="143" t="s">
        <v>332</v>
      </c>
      <c r="D207" s="143"/>
      <c r="E207" s="143"/>
      <c r="F207" s="200"/>
      <c r="G207" s="51"/>
      <c r="H207" s="51"/>
      <c r="I207" s="115"/>
      <c r="J207" s="116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6"/>
      <c r="X207" s="116"/>
      <c r="Y207" s="116"/>
      <c r="Z207" s="116"/>
      <c r="AA207" s="116"/>
      <c r="AB207" s="116"/>
      <c r="AC207" s="117"/>
      <c r="AD207" s="51"/>
      <c r="AE207" s="51"/>
      <c r="AF207" s="51"/>
      <c r="AG207" s="143" t="s">
        <v>317</v>
      </c>
      <c r="AH207" s="200"/>
      <c r="AI207" s="200"/>
      <c r="AJ207" s="218"/>
      <c r="AK207" s="122"/>
      <c r="AL207" s="123"/>
      <c r="AM207" s="123"/>
      <c r="AN207" s="124"/>
      <c r="AO207" s="228"/>
      <c r="AP207" s="228"/>
      <c r="AQ207" s="228"/>
      <c r="AR207" s="228"/>
      <c r="AS207" s="228"/>
      <c r="AT207" s="122"/>
      <c r="AU207" s="123"/>
      <c r="AV207" s="123"/>
      <c r="AW207" s="124"/>
      <c r="AX207" s="229" t="s">
        <v>318</v>
      </c>
      <c r="AY207" s="230"/>
      <c r="AZ207" s="230"/>
      <c r="BA207" s="230"/>
      <c r="BB207" s="231"/>
      <c r="BC207" s="122"/>
      <c r="BD207" s="123"/>
      <c r="BE207" s="123"/>
      <c r="BF207" s="124"/>
      <c r="BG207" s="51"/>
      <c r="BH207" s="51"/>
    </row>
    <row r="208" spans="1:60" ht="14.25" customHeight="1" x14ac:dyDescent="0.25">
      <c r="A208" s="51"/>
      <c r="B208" s="51"/>
      <c r="C208" s="143"/>
      <c r="D208" s="143"/>
      <c r="E208" s="143"/>
      <c r="F208" s="200"/>
      <c r="G208" s="51"/>
      <c r="H208" s="51"/>
      <c r="I208" s="118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  <c r="AA208" s="119"/>
      <c r="AB208" s="119"/>
      <c r="AC208" s="120"/>
      <c r="AD208" s="51"/>
      <c r="AE208" s="51"/>
      <c r="AF208" s="51"/>
      <c r="AG208" s="200"/>
      <c r="AH208" s="200"/>
      <c r="AI208" s="200"/>
      <c r="AJ208" s="218"/>
      <c r="AK208" s="125"/>
      <c r="AL208" s="126"/>
      <c r="AM208" s="126"/>
      <c r="AN208" s="127"/>
      <c r="AO208" s="228"/>
      <c r="AP208" s="228"/>
      <c r="AQ208" s="228"/>
      <c r="AR208" s="228"/>
      <c r="AS208" s="228"/>
      <c r="AT208" s="125"/>
      <c r="AU208" s="126"/>
      <c r="AV208" s="126"/>
      <c r="AW208" s="127"/>
      <c r="AX208" s="232"/>
      <c r="AY208" s="230"/>
      <c r="AZ208" s="230"/>
      <c r="BA208" s="230"/>
      <c r="BB208" s="231"/>
      <c r="BC208" s="125"/>
      <c r="BD208" s="126"/>
      <c r="BE208" s="126"/>
      <c r="BF208" s="127"/>
      <c r="BG208" s="51"/>
      <c r="BH208" s="51"/>
    </row>
    <row r="209" spans="1:60" ht="11.25" customHeight="1" x14ac:dyDescent="0.25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  <c r="BG209" s="51"/>
      <c r="BH209" s="51"/>
    </row>
    <row r="210" spans="1:60" ht="14.25" customHeight="1" x14ac:dyDescent="0.25">
      <c r="A210" s="51"/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  <c r="BG210" s="51"/>
      <c r="BH210" s="51"/>
    </row>
    <row r="211" spans="1:60" ht="14.25" customHeight="1" x14ac:dyDescent="0.25">
      <c r="A211" s="51"/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  <c r="BG211" s="51"/>
      <c r="BH211" s="51"/>
    </row>
    <row r="212" spans="1:60" ht="14.25" customHeight="1" x14ac:dyDescent="0.25">
      <c r="A212" s="51"/>
      <c r="B212" s="51"/>
      <c r="C212" s="51"/>
      <c r="D212" s="51"/>
      <c r="E212" s="51"/>
      <c r="F212" s="51"/>
      <c r="G212" s="50" t="s">
        <v>18</v>
      </c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23" t="s">
        <v>19</v>
      </c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23" t="s">
        <v>20</v>
      </c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23" t="s">
        <v>21</v>
      </c>
      <c r="BA212" s="51"/>
      <c r="BB212" s="51"/>
      <c r="BC212" s="51"/>
      <c r="BD212" s="51"/>
      <c r="BE212" s="51"/>
      <c r="BF212" s="51"/>
      <c r="BG212" s="51"/>
      <c r="BH212" s="51"/>
    </row>
    <row r="213" spans="1:60" ht="14.25" customHeight="1" x14ac:dyDescent="0.25">
      <c r="A213" s="51"/>
      <c r="B213" s="51"/>
      <c r="C213" s="51"/>
      <c r="D213" s="51"/>
      <c r="E213" s="51"/>
      <c r="F213" s="51"/>
      <c r="G213" s="51"/>
      <c r="H213" s="51"/>
      <c r="I213" s="8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8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8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8"/>
      <c r="BA213" s="51"/>
      <c r="BB213" s="51"/>
      <c r="BC213" s="51"/>
      <c r="BD213" s="51"/>
      <c r="BE213" s="51"/>
      <c r="BF213" s="51"/>
      <c r="BG213" s="51"/>
      <c r="BH213" s="51"/>
    </row>
    <row r="214" spans="1:60" ht="14.25" customHeight="1" x14ac:dyDescent="0.25">
      <c r="A214" s="51"/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4" t="s">
        <v>22</v>
      </c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  <c r="BG214" s="51"/>
      <c r="BH214" s="51"/>
    </row>
    <row r="215" spans="1:60" ht="14.25" customHeight="1" x14ac:dyDescent="0.25">
      <c r="A215" s="51"/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  <c r="BG215" s="51"/>
      <c r="BH215" s="51"/>
    </row>
    <row r="216" spans="1:60" ht="14.25" customHeight="1" x14ac:dyDescent="0.25">
      <c r="A216" s="51"/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1"/>
      <c r="AY216" s="51"/>
      <c r="AZ216" s="51"/>
      <c r="BA216" s="51"/>
      <c r="BB216" s="51"/>
      <c r="BC216" s="51"/>
      <c r="BD216" s="51"/>
      <c r="BE216" s="51"/>
      <c r="BF216" s="51"/>
      <c r="BG216" s="51"/>
      <c r="BH216" s="51"/>
    </row>
    <row r="217" spans="1:60" ht="14.25" customHeight="1" x14ac:dyDescent="0.25">
      <c r="A217" s="51"/>
      <c r="B217" s="51"/>
      <c r="C217" s="160" t="s">
        <v>319</v>
      </c>
      <c r="D217" s="160"/>
      <c r="E217" s="160"/>
      <c r="F217" s="160"/>
      <c r="G217" s="160"/>
      <c r="H217" s="160"/>
      <c r="I217" s="160"/>
      <c r="J217" s="160"/>
      <c r="K217" s="160"/>
      <c r="L217" s="160"/>
      <c r="M217" s="160"/>
      <c r="N217" s="180"/>
      <c r="O217" s="218"/>
      <c r="P217" s="115"/>
      <c r="Q217" s="212"/>
      <c r="R217" s="212"/>
      <c r="S217" s="212"/>
      <c r="T217" s="213"/>
      <c r="U217" s="9"/>
      <c r="V217" s="146" t="s">
        <v>320</v>
      </c>
      <c r="W217" s="146"/>
      <c r="X217" s="146"/>
      <c r="Y217" s="146"/>
      <c r="Z217" s="146"/>
      <c r="AA217" s="146"/>
      <c r="AB217" s="146"/>
      <c r="AC217" s="220"/>
      <c r="AD217" s="115"/>
      <c r="AE217" s="116"/>
      <c r="AF217" s="116"/>
      <c r="AG217" s="116"/>
      <c r="AH217" s="116"/>
      <c r="AI217" s="116"/>
      <c r="AJ217" s="116"/>
      <c r="AK217" s="117"/>
      <c r="AL217" s="51"/>
      <c r="AM217" s="51"/>
      <c r="AN217" s="51"/>
      <c r="AO217" s="51"/>
      <c r="AP217" s="51"/>
      <c r="AQ217" s="51"/>
      <c r="AR217" s="221" t="s">
        <v>321</v>
      </c>
      <c r="AS217" s="221"/>
      <c r="AT217" s="221"/>
      <c r="AU217" s="221"/>
      <c r="AV217" s="221"/>
      <c r="AW217" s="51"/>
      <c r="AX217" s="51"/>
      <c r="AY217" s="201"/>
      <c r="AZ217" s="202"/>
      <c r="BA217" s="202"/>
      <c r="BB217" s="202"/>
      <c r="BC217" s="202"/>
      <c r="BD217" s="202"/>
      <c r="BE217" s="202"/>
      <c r="BF217" s="203"/>
      <c r="BG217" s="51"/>
      <c r="BH217" s="51"/>
    </row>
    <row r="218" spans="1:60" ht="14.25" customHeight="1" x14ac:dyDescent="0.25">
      <c r="A218" s="51"/>
      <c r="B218" s="51"/>
      <c r="C218" s="160"/>
      <c r="D218" s="160"/>
      <c r="E218" s="160"/>
      <c r="F218" s="160"/>
      <c r="G218" s="160"/>
      <c r="H218" s="160"/>
      <c r="I218" s="160"/>
      <c r="J218" s="160"/>
      <c r="K218" s="160"/>
      <c r="L218" s="160"/>
      <c r="M218" s="160"/>
      <c r="N218" s="180"/>
      <c r="O218" s="218"/>
      <c r="P218" s="214"/>
      <c r="Q218" s="215"/>
      <c r="R218" s="215"/>
      <c r="S218" s="215"/>
      <c r="T218" s="216"/>
      <c r="U218" s="10"/>
      <c r="V218" s="146"/>
      <c r="W218" s="146"/>
      <c r="X218" s="146"/>
      <c r="Y218" s="146"/>
      <c r="Z218" s="146"/>
      <c r="AA218" s="146"/>
      <c r="AB218" s="146"/>
      <c r="AC218" s="220"/>
      <c r="AD218" s="118"/>
      <c r="AE218" s="119"/>
      <c r="AF218" s="119"/>
      <c r="AG218" s="119"/>
      <c r="AH218" s="119"/>
      <c r="AI218" s="119"/>
      <c r="AJ218" s="119"/>
      <c r="AK218" s="120"/>
      <c r="AL218" s="10"/>
      <c r="AM218" s="10"/>
      <c r="AN218" s="10"/>
      <c r="AO218" s="10"/>
      <c r="AP218" s="10"/>
      <c r="AQ218" s="10"/>
      <c r="AR218" s="221"/>
      <c r="AS218" s="221"/>
      <c r="AT218" s="221"/>
      <c r="AU218" s="221"/>
      <c r="AV218" s="221"/>
      <c r="AW218" s="10"/>
      <c r="AX218" s="54"/>
      <c r="AY218" s="204"/>
      <c r="AZ218" s="205"/>
      <c r="BA218" s="205"/>
      <c r="BB218" s="205"/>
      <c r="BC218" s="205"/>
      <c r="BD218" s="205"/>
      <c r="BE218" s="205"/>
      <c r="BF218" s="206"/>
      <c r="BG218" s="51"/>
      <c r="BH218" s="51"/>
    </row>
    <row r="219" spans="1:60" ht="14.25" customHeight="1" x14ac:dyDescent="0.25">
      <c r="A219" s="51"/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4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  <c r="BG219" s="51"/>
      <c r="BH219" s="51"/>
    </row>
    <row r="220" spans="1:60" ht="14.25" customHeight="1" x14ac:dyDescent="0.25">
      <c r="A220" s="51"/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  <c r="BG220" s="51"/>
      <c r="BH220" s="51"/>
    </row>
    <row r="221" spans="1:60" ht="14.25" customHeight="1" x14ac:dyDescent="0.25">
      <c r="A221" s="51"/>
      <c r="B221" s="51"/>
      <c r="C221" s="143" t="s">
        <v>322</v>
      </c>
      <c r="D221" s="143"/>
      <c r="E221" s="143"/>
      <c r="F221" s="143"/>
      <c r="G221" s="211"/>
      <c r="H221" s="200"/>
      <c r="I221" s="218"/>
      <c r="J221" s="115"/>
      <c r="K221" s="212"/>
      <c r="L221" s="212"/>
      <c r="M221" s="212"/>
      <c r="N221" s="212"/>
      <c r="O221" s="212"/>
      <c r="P221" s="212"/>
      <c r="Q221" s="212"/>
      <c r="R221" s="212"/>
      <c r="S221" s="212"/>
      <c r="T221" s="212"/>
      <c r="U221" s="212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12"/>
      <c r="AF221" s="212"/>
      <c r="AG221" s="212"/>
      <c r="AH221" s="212"/>
      <c r="AI221" s="212"/>
      <c r="AJ221" s="212"/>
      <c r="AK221" s="212"/>
      <c r="AL221" s="212"/>
      <c r="AM221" s="212"/>
      <c r="AN221" s="213"/>
      <c r="AO221" s="51"/>
      <c r="AP221" s="163" t="s">
        <v>323</v>
      </c>
      <c r="AQ221" s="163"/>
      <c r="AR221" s="163"/>
      <c r="AS221" s="163"/>
      <c r="AT221" s="163"/>
      <c r="AU221" s="163"/>
      <c r="AV221" s="163"/>
      <c r="AW221" s="200"/>
      <c r="AX221" s="218"/>
      <c r="AY221" s="115"/>
      <c r="AZ221" s="116"/>
      <c r="BA221" s="116"/>
      <c r="BB221" s="116"/>
      <c r="BC221" s="116"/>
      <c r="BD221" s="116"/>
      <c r="BE221" s="116"/>
      <c r="BF221" s="117"/>
      <c r="BG221" s="51"/>
      <c r="BH221" s="51"/>
    </row>
    <row r="222" spans="1:60" ht="14.25" customHeight="1" x14ac:dyDescent="0.25">
      <c r="A222" s="54"/>
      <c r="B222" s="54"/>
      <c r="C222" s="143"/>
      <c r="D222" s="143"/>
      <c r="E222" s="143"/>
      <c r="F222" s="143"/>
      <c r="G222" s="211"/>
      <c r="H222" s="200"/>
      <c r="I222" s="218"/>
      <c r="J222" s="214"/>
      <c r="K222" s="215"/>
      <c r="L222" s="215"/>
      <c r="M222" s="215"/>
      <c r="N222" s="215"/>
      <c r="O222" s="215"/>
      <c r="P222" s="215"/>
      <c r="Q222" s="215"/>
      <c r="R222" s="215"/>
      <c r="S222" s="215"/>
      <c r="T222" s="215"/>
      <c r="U222" s="215"/>
      <c r="V222" s="215"/>
      <c r="W222" s="215"/>
      <c r="X222" s="215"/>
      <c r="Y222" s="215"/>
      <c r="Z222" s="215"/>
      <c r="AA222" s="215"/>
      <c r="AB222" s="215"/>
      <c r="AC222" s="215"/>
      <c r="AD222" s="215"/>
      <c r="AE222" s="215"/>
      <c r="AF222" s="215"/>
      <c r="AG222" s="215"/>
      <c r="AH222" s="215"/>
      <c r="AI222" s="215"/>
      <c r="AJ222" s="215"/>
      <c r="AK222" s="215"/>
      <c r="AL222" s="215"/>
      <c r="AM222" s="215"/>
      <c r="AN222" s="216"/>
      <c r="AO222" s="51"/>
      <c r="AP222" s="163"/>
      <c r="AQ222" s="163"/>
      <c r="AR222" s="163"/>
      <c r="AS222" s="163"/>
      <c r="AT222" s="163"/>
      <c r="AU222" s="163"/>
      <c r="AV222" s="163"/>
      <c r="AW222" s="200"/>
      <c r="AX222" s="218"/>
      <c r="AY222" s="118"/>
      <c r="AZ222" s="119"/>
      <c r="BA222" s="119"/>
      <c r="BB222" s="119"/>
      <c r="BC222" s="119"/>
      <c r="BD222" s="119"/>
      <c r="BE222" s="119"/>
      <c r="BF222" s="120"/>
      <c r="BG222" s="54"/>
      <c r="BH222" s="54"/>
    </row>
    <row r="223" spans="1:60" ht="14.25" customHeight="1" x14ac:dyDescent="0.25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</row>
    <row r="224" spans="1:60" ht="14.25" customHeight="1" x14ac:dyDescent="0.25">
      <c r="A224" s="54"/>
      <c r="B224" s="54"/>
      <c r="C224" s="160" t="s">
        <v>324</v>
      </c>
      <c r="D224" s="160"/>
      <c r="E224" s="160"/>
      <c r="F224" s="160"/>
      <c r="G224" s="160"/>
      <c r="H224" s="160"/>
      <c r="I224" s="160"/>
      <c r="J224" s="160"/>
      <c r="K224" s="160"/>
      <c r="L224" s="160"/>
      <c r="M224" s="160"/>
      <c r="N224" s="160"/>
      <c r="O224" s="160"/>
      <c r="P224" s="160"/>
      <c r="Q224" s="160"/>
      <c r="R224" s="160"/>
      <c r="S224" s="160"/>
      <c r="T224" s="160"/>
      <c r="U224" s="160"/>
      <c r="V224" s="160"/>
      <c r="W224" s="180"/>
      <c r="X224" s="222"/>
      <c r="Y224" s="223"/>
      <c r="Z224" s="94"/>
      <c r="AA224" s="212"/>
      <c r="AB224" s="212"/>
      <c r="AC224" s="212"/>
      <c r="AD224" s="212"/>
      <c r="AE224" s="212"/>
      <c r="AF224" s="212"/>
      <c r="AG224" s="212"/>
      <c r="AH224" s="212"/>
      <c r="AI224" s="212"/>
      <c r="AJ224" s="212"/>
      <c r="AK224" s="212"/>
      <c r="AL224" s="212"/>
      <c r="AM224" s="212"/>
      <c r="AN224" s="212"/>
      <c r="AO224" s="212"/>
      <c r="AP224" s="212"/>
      <c r="AQ224" s="212"/>
      <c r="AR224" s="212"/>
      <c r="AS224" s="212"/>
      <c r="AT224" s="212"/>
      <c r="AU224" s="212"/>
      <c r="AV224" s="212"/>
      <c r="AW224" s="212"/>
      <c r="AX224" s="212"/>
      <c r="AY224" s="212"/>
      <c r="AZ224" s="212"/>
      <c r="BA224" s="212"/>
      <c r="BB224" s="212"/>
      <c r="BC224" s="212"/>
      <c r="BD224" s="212"/>
      <c r="BE224" s="212"/>
      <c r="BF224" s="212"/>
      <c r="BG224" s="26"/>
      <c r="BH224" s="25"/>
    </row>
    <row r="225" spans="1:60" ht="14.25" customHeight="1" x14ac:dyDescent="0.25">
      <c r="A225" s="54"/>
      <c r="B225" s="54"/>
      <c r="C225" s="160"/>
      <c r="D225" s="160"/>
      <c r="E225" s="160"/>
      <c r="F225" s="160"/>
      <c r="G225" s="160"/>
      <c r="H225" s="160"/>
      <c r="I225" s="160"/>
      <c r="J225" s="160"/>
      <c r="K225" s="160"/>
      <c r="L225" s="160"/>
      <c r="M225" s="160"/>
      <c r="N225" s="160"/>
      <c r="O225" s="160"/>
      <c r="P225" s="160"/>
      <c r="Q225" s="160"/>
      <c r="R225" s="160"/>
      <c r="S225" s="160"/>
      <c r="T225" s="160"/>
      <c r="U225" s="160"/>
      <c r="V225" s="160"/>
      <c r="W225" s="180"/>
      <c r="X225" s="222"/>
      <c r="Y225" s="223"/>
      <c r="Z225" s="214"/>
      <c r="AA225" s="215"/>
      <c r="AB225" s="215"/>
      <c r="AC225" s="215"/>
      <c r="AD225" s="215"/>
      <c r="AE225" s="215"/>
      <c r="AF225" s="215"/>
      <c r="AG225" s="215"/>
      <c r="AH225" s="215"/>
      <c r="AI225" s="215"/>
      <c r="AJ225" s="215"/>
      <c r="AK225" s="215"/>
      <c r="AL225" s="215"/>
      <c r="AM225" s="215"/>
      <c r="AN225" s="215"/>
      <c r="AO225" s="215"/>
      <c r="AP225" s="215"/>
      <c r="AQ225" s="215"/>
      <c r="AR225" s="215"/>
      <c r="AS225" s="215"/>
      <c r="AT225" s="215"/>
      <c r="AU225" s="215"/>
      <c r="AV225" s="215"/>
      <c r="AW225" s="215"/>
      <c r="AX225" s="215"/>
      <c r="AY225" s="215"/>
      <c r="AZ225" s="215"/>
      <c r="BA225" s="215"/>
      <c r="BB225" s="215"/>
      <c r="BC225" s="215"/>
      <c r="BD225" s="215"/>
      <c r="BE225" s="215"/>
      <c r="BF225" s="215"/>
      <c r="BG225" s="26"/>
      <c r="BH225" s="25"/>
    </row>
    <row r="226" spans="1:60" ht="14.25" customHeight="1" x14ac:dyDescent="0.25">
      <c r="A226" s="54"/>
      <c r="B226" s="54"/>
      <c r="C226" s="50"/>
      <c r="D226" s="50"/>
      <c r="E226" s="50"/>
      <c r="F226" s="50"/>
      <c r="G226" s="50"/>
      <c r="H226" s="50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54"/>
      <c r="AE226" s="54"/>
      <c r="AF226" s="50"/>
      <c r="AG226" s="50"/>
      <c r="AH226" s="50"/>
      <c r="AI226" s="50"/>
      <c r="AJ226" s="50"/>
      <c r="AK226" s="50"/>
      <c r="AL226" s="25"/>
      <c r="AM226" s="25"/>
      <c r="AN226" s="25"/>
      <c r="AO226" s="25"/>
      <c r="AP226" s="25"/>
      <c r="AQ226" s="54"/>
      <c r="AR226" s="6"/>
      <c r="AS226" s="6"/>
      <c r="AT226" s="6"/>
      <c r="AU226" s="6"/>
      <c r="AV226" s="6"/>
      <c r="AW226" s="23"/>
      <c r="AX226" s="23"/>
      <c r="AY226" s="23"/>
      <c r="AZ226" s="23"/>
      <c r="BA226" s="23"/>
      <c r="BB226" s="23"/>
      <c r="BC226" s="23"/>
      <c r="BD226" s="23"/>
      <c r="BE226" s="23"/>
      <c r="BF226" s="23"/>
      <c r="BG226" s="54"/>
      <c r="BH226" s="54"/>
    </row>
    <row r="227" spans="1:60" ht="14.25" customHeight="1" x14ac:dyDescent="0.25">
      <c r="A227" s="54"/>
      <c r="B227" s="54"/>
      <c r="C227" s="160" t="s">
        <v>328</v>
      </c>
      <c r="D227" s="160"/>
      <c r="E227" s="160"/>
      <c r="F227" s="160"/>
      <c r="G227" s="160"/>
      <c r="H227" s="160"/>
      <c r="I227" s="160"/>
      <c r="J227" s="160"/>
      <c r="K227" s="160"/>
      <c r="L227" s="160"/>
      <c r="M227" s="160"/>
      <c r="N227" s="160"/>
      <c r="O227" s="160"/>
      <c r="P227" s="160"/>
      <c r="Q227" s="160"/>
      <c r="R227" s="160"/>
      <c r="S227" s="160"/>
      <c r="T227" s="160"/>
      <c r="U227" s="160"/>
      <c r="V227" s="160"/>
      <c r="W227" s="180"/>
      <c r="X227" s="222"/>
      <c r="Y227" s="24"/>
      <c r="Z227" s="94"/>
      <c r="AA227" s="212"/>
      <c r="AB227" s="212"/>
      <c r="AC227" s="212"/>
      <c r="AD227" s="212"/>
      <c r="AE227" s="212"/>
      <c r="AF227" s="212"/>
      <c r="AG227" s="212"/>
      <c r="AH227" s="212"/>
      <c r="AI227" s="212"/>
      <c r="AJ227" s="212"/>
      <c r="AK227" s="212"/>
      <c r="AL227" s="212"/>
      <c r="AM227" s="212"/>
      <c r="AN227" s="212"/>
      <c r="AO227" s="212"/>
      <c r="AP227" s="212"/>
      <c r="AQ227" s="212"/>
      <c r="AR227" s="212"/>
      <c r="AS227" s="212"/>
      <c r="AT227" s="212"/>
      <c r="AU227" s="212"/>
      <c r="AV227" s="212"/>
      <c r="AW227" s="212"/>
      <c r="AX227" s="212"/>
      <c r="AY227" s="212"/>
      <c r="AZ227" s="212"/>
      <c r="BA227" s="212"/>
      <c r="BB227" s="212"/>
      <c r="BC227" s="212"/>
      <c r="BD227" s="212"/>
      <c r="BE227" s="212"/>
      <c r="BF227" s="213"/>
      <c r="BG227" s="26"/>
      <c r="BH227" s="25"/>
    </row>
    <row r="228" spans="1:60" ht="14.25" customHeight="1" x14ac:dyDescent="0.25">
      <c r="A228" s="54"/>
      <c r="B228" s="54"/>
      <c r="C228" s="160"/>
      <c r="D228" s="160"/>
      <c r="E228" s="160"/>
      <c r="F228" s="160"/>
      <c r="G228" s="160"/>
      <c r="H228" s="160"/>
      <c r="I228" s="160"/>
      <c r="J228" s="160"/>
      <c r="K228" s="160"/>
      <c r="L228" s="160"/>
      <c r="M228" s="160"/>
      <c r="N228" s="160"/>
      <c r="O228" s="160"/>
      <c r="P228" s="160"/>
      <c r="Q228" s="160"/>
      <c r="R228" s="160"/>
      <c r="S228" s="160"/>
      <c r="T228" s="160"/>
      <c r="U228" s="160"/>
      <c r="V228" s="160"/>
      <c r="W228" s="180"/>
      <c r="X228" s="222"/>
      <c r="Y228" s="24"/>
      <c r="Z228" s="214"/>
      <c r="AA228" s="215"/>
      <c r="AB228" s="215"/>
      <c r="AC228" s="215"/>
      <c r="AD228" s="215"/>
      <c r="AE228" s="215"/>
      <c r="AF228" s="215"/>
      <c r="AG228" s="215"/>
      <c r="AH228" s="215"/>
      <c r="AI228" s="215"/>
      <c r="AJ228" s="215"/>
      <c r="AK228" s="215"/>
      <c r="AL228" s="215"/>
      <c r="AM228" s="215"/>
      <c r="AN228" s="215"/>
      <c r="AO228" s="215"/>
      <c r="AP228" s="215"/>
      <c r="AQ228" s="215"/>
      <c r="AR228" s="215"/>
      <c r="AS228" s="215"/>
      <c r="AT228" s="215"/>
      <c r="AU228" s="215"/>
      <c r="AV228" s="215"/>
      <c r="AW228" s="215"/>
      <c r="AX228" s="215"/>
      <c r="AY228" s="215"/>
      <c r="AZ228" s="215"/>
      <c r="BA228" s="215"/>
      <c r="BB228" s="215"/>
      <c r="BC228" s="215"/>
      <c r="BD228" s="215"/>
      <c r="BE228" s="215"/>
      <c r="BF228" s="216"/>
      <c r="BG228" s="26"/>
      <c r="BH228" s="25"/>
    </row>
    <row r="229" spans="1:60" ht="14.25" customHeight="1" x14ac:dyDescent="0.25">
      <c r="A229" s="54"/>
      <c r="B229" s="54"/>
      <c r="C229" s="50"/>
      <c r="D229" s="50"/>
      <c r="E229" s="50"/>
      <c r="F229" s="50"/>
      <c r="G229" s="50"/>
      <c r="H229" s="54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54"/>
      <c r="AE229" s="54"/>
      <c r="AF229" s="50"/>
      <c r="AG229" s="50"/>
      <c r="AH229" s="50"/>
      <c r="AI229" s="50"/>
      <c r="AJ229" s="50"/>
      <c r="AK229" s="50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  <c r="BC229" s="23"/>
      <c r="BD229" s="23"/>
      <c r="BE229" s="23"/>
      <c r="BF229" s="23"/>
      <c r="BG229" s="54"/>
      <c r="BH229" s="54"/>
    </row>
    <row r="230" spans="1:60" ht="14.25" customHeight="1" x14ac:dyDescent="0.25">
      <c r="A230" s="54"/>
      <c r="B230" s="54"/>
      <c r="C230" s="50"/>
      <c r="D230" s="50"/>
      <c r="E230" s="50"/>
      <c r="F230" s="50"/>
      <c r="G230" s="50"/>
      <c r="H230" s="54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54"/>
      <c r="AE230" s="54"/>
      <c r="AF230" s="50"/>
      <c r="AG230" s="50"/>
      <c r="AH230" s="50"/>
      <c r="AI230" s="50"/>
      <c r="AJ230" s="50"/>
      <c r="AK230" s="50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  <c r="BC230" s="23"/>
      <c r="BD230" s="23"/>
      <c r="BE230" s="23"/>
      <c r="BF230" s="23"/>
      <c r="BG230" s="54"/>
      <c r="BH230" s="54"/>
    </row>
    <row r="231" spans="1:60" ht="14.25" customHeight="1" x14ac:dyDescent="0.25">
      <c r="A231" s="51"/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22"/>
      <c r="AP231" s="51"/>
      <c r="AQ231" s="51"/>
      <c r="AR231" s="51"/>
      <c r="AS231" s="51"/>
      <c r="AT231" s="51"/>
      <c r="AU231" s="51"/>
      <c r="AV231" s="51"/>
      <c r="AW231" s="55"/>
      <c r="AX231" s="12"/>
      <c r="AY231" s="51"/>
      <c r="AZ231" s="51"/>
      <c r="BA231" s="51"/>
      <c r="BB231" s="51"/>
      <c r="BC231" s="51"/>
      <c r="BD231" s="51"/>
      <c r="BE231" s="51"/>
      <c r="BF231" s="51"/>
      <c r="BG231" s="51"/>
      <c r="BH231" s="51"/>
    </row>
    <row r="232" spans="1:60" ht="14.25" customHeight="1" x14ac:dyDescent="0.25">
      <c r="A232" s="51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22"/>
      <c r="AP232" s="51"/>
      <c r="AQ232" s="51"/>
      <c r="AR232" s="51"/>
      <c r="AS232" s="51"/>
      <c r="AT232" s="51"/>
      <c r="AU232" s="51"/>
      <c r="AV232" s="51"/>
      <c r="AW232" s="55"/>
      <c r="AX232" s="12"/>
      <c r="AY232" s="51"/>
      <c r="AZ232" s="51"/>
      <c r="BA232" s="51"/>
      <c r="BB232" s="51"/>
      <c r="BC232" s="51"/>
      <c r="BD232" s="51"/>
      <c r="BE232" s="51"/>
      <c r="BF232" s="51"/>
      <c r="BG232" s="51"/>
      <c r="BH232" s="51"/>
    </row>
    <row r="233" spans="1:60" ht="14.25" customHeight="1" x14ac:dyDescent="0.25">
      <c r="A233" s="51"/>
      <c r="B233" s="51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1"/>
      <c r="BH233" s="51"/>
    </row>
    <row r="234" spans="1:60" ht="14.25" customHeight="1" x14ac:dyDescent="0.25">
      <c r="A234" s="51"/>
      <c r="B234" s="51"/>
      <c r="C234" s="54"/>
      <c r="D234" s="54"/>
      <c r="E234" s="54"/>
      <c r="F234" s="54"/>
      <c r="G234" s="54"/>
      <c r="H234" s="54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54"/>
      <c r="AQ234" s="53"/>
      <c r="AR234" s="53"/>
      <c r="AS234" s="53"/>
      <c r="AT234" s="53"/>
      <c r="AU234" s="53"/>
      <c r="AV234" s="53"/>
      <c r="AW234" s="53"/>
      <c r="AX234" s="13"/>
      <c r="AY234" s="22"/>
      <c r="AZ234" s="22"/>
      <c r="BA234" s="22"/>
      <c r="BB234" s="22"/>
      <c r="BC234" s="22"/>
      <c r="BD234" s="22"/>
      <c r="BE234" s="22"/>
      <c r="BF234" s="22"/>
      <c r="BG234" s="51"/>
      <c r="BH234" s="51"/>
    </row>
    <row r="235" spans="1:60" ht="14.25" customHeight="1" x14ac:dyDescent="0.25">
      <c r="A235" s="51"/>
      <c r="B235" s="51"/>
      <c r="C235" s="160" t="s">
        <v>325</v>
      </c>
      <c r="D235" s="224"/>
      <c r="E235" s="224"/>
      <c r="F235" s="224"/>
      <c r="G235" s="224"/>
      <c r="H235" s="224"/>
      <c r="I235" s="225"/>
      <c r="J235" s="115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7"/>
      <c r="BG235" s="51"/>
      <c r="BH235" s="51"/>
    </row>
    <row r="236" spans="1:60" ht="14.25" customHeight="1" x14ac:dyDescent="0.25">
      <c r="A236" s="51"/>
      <c r="B236" s="51"/>
      <c r="C236" s="224"/>
      <c r="D236" s="224"/>
      <c r="E236" s="224"/>
      <c r="F236" s="224"/>
      <c r="G236" s="224"/>
      <c r="H236" s="224"/>
      <c r="I236" s="225"/>
      <c r="J236" s="118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  <c r="AA236" s="119"/>
      <c r="AB236" s="119"/>
      <c r="AC236" s="119"/>
      <c r="AD236" s="119"/>
      <c r="AE236" s="119"/>
      <c r="AF236" s="119"/>
      <c r="AG236" s="119"/>
      <c r="AH236" s="119"/>
      <c r="AI236" s="119"/>
      <c r="AJ236" s="119"/>
      <c r="AK236" s="119"/>
      <c r="AL236" s="119"/>
      <c r="AM236" s="119"/>
      <c r="AN236" s="119"/>
      <c r="AO236" s="119"/>
      <c r="AP236" s="119"/>
      <c r="AQ236" s="119"/>
      <c r="AR236" s="119"/>
      <c r="AS236" s="119"/>
      <c r="AT236" s="119"/>
      <c r="AU236" s="119"/>
      <c r="AV236" s="119"/>
      <c r="AW236" s="119"/>
      <c r="AX236" s="119"/>
      <c r="AY236" s="119"/>
      <c r="AZ236" s="119"/>
      <c r="BA236" s="119"/>
      <c r="BB236" s="119"/>
      <c r="BC236" s="119"/>
      <c r="BD236" s="119"/>
      <c r="BE236" s="119"/>
      <c r="BF236" s="120"/>
      <c r="BG236" s="51"/>
      <c r="BH236" s="51"/>
    </row>
    <row r="237" spans="1:60" ht="14.25" customHeight="1" x14ac:dyDescent="0.25">
      <c r="A237" s="51"/>
      <c r="B237" s="51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5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12"/>
      <c r="AF237" s="16"/>
      <c r="AG237" s="16"/>
      <c r="AH237" s="16"/>
      <c r="AI237" s="16"/>
      <c r="AJ237" s="16"/>
      <c r="AK237" s="16"/>
      <c r="AL237" s="16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1"/>
      <c r="BH237" s="51"/>
    </row>
    <row r="238" spans="1:60" ht="14.25" customHeight="1" x14ac:dyDescent="0.25">
      <c r="A238" s="51"/>
      <c r="B238" s="51"/>
      <c r="C238" s="160" t="s">
        <v>326</v>
      </c>
      <c r="D238" s="160"/>
      <c r="E238" s="160"/>
      <c r="F238" s="160"/>
      <c r="G238" s="160"/>
      <c r="H238" s="160"/>
      <c r="I238" s="160"/>
      <c r="J238" s="160"/>
      <c r="K238" s="160"/>
      <c r="L238" s="160"/>
      <c r="M238" s="160"/>
      <c r="N238" s="180"/>
      <c r="O238" s="22"/>
      <c r="P238" s="24"/>
      <c r="Q238" s="94"/>
      <c r="R238" s="212"/>
      <c r="S238" s="212"/>
      <c r="T238" s="212"/>
      <c r="U238" s="212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12"/>
      <c r="AF238" s="212"/>
      <c r="AG238" s="212"/>
      <c r="AH238" s="212"/>
      <c r="AI238" s="212"/>
      <c r="AJ238" s="212"/>
      <c r="AK238" s="212"/>
      <c r="AL238" s="212"/>
      <c r="AM238" s="212"/>
      <c r="AN238" s="212"/>
      <c r="AO238" s="212"/>
      <c r="AP238" s="212"/>
      <c r="AQ238" s="212"/>
      <c r="AR238" s="212"/>
      <c r="AS238" s="212"/>
      <c r="AT238" s="212"/>
      <c r="AU238" s="212"/>
      <c r="AV238" s="212"/>
      <c r="AW238" s="212"/>
      <c r="AX238" s="212"/>
      <c r="AY238" s="212"/>
      <c r="AZ238" s="212"/>
      <c r="BA238" s="212"/>
      <c r="BB238" s="212"/>
      <c r="BC238" s="212"/>
      <c r="BD238" s="212"/>
      <c r="BE238" s="212"/>
      <c r="BF238" s="213"/>
      <c r="BG238" s="26"/>
      <c r="BH238" s="25"/>
    </row>
    <row r="239" spans="1:60" ht="14.25" customHeight="1" x14ac:dyDescent="0.25">
      <c r="A239" s="51"/>
      <c r="B239" s="51"/>
      <c r="C239" s="160"/>
      <c r="D239" s="160"/>
      <c r="E239" s="160"/>
      <c r="F239" s="160"/>
      <c r="G239" s="160"/>
      <c r="H239" s="160"/>
      <c r="I239" s="160"/>
      <c r="J239" s="160"/>
      <c r="K239" s="160"/>
      <c r="L239" s="160"/>
      <c r="M239" s="160"/>
      <c r="N239" s="180"/>
      <c r="O239" s="22"/>
      <c r="P239" s="24"/>
      <c r="Q239" s="214"/>
      <c r="R239" s="215"/>
      <c r="S239" s="215"/>
      <c r="T239" s="215"/>
      <c r="U239" s="215"/>
      <c r="V239" s="215"/>
      <c r="W239" s="215"/>
      <c r="X239" s="215"/>
      <c r="Y239" s="215"/>
      <c r="Z239" s="215"/>
      <c r="AA239" s="215"/>
      <c r="AB239" s="215"/>
      <c r="AC239" s="215"/>
      <c r="AD239" s="215"/>
      <c r="AE239" s="215"/>
      <c r="AF239" s="215"/>
      <c r="AG239" s="215"/>
      <c r="AH239" s="215"/>
      <c r="AI239" s="215"/>
      <c r="AJ239" s="215"/>
      <c r="AK239" s="215"/>
      <c r="AL239" s="215"/>
      <c r="AM239" s="215"/>
      <c r="AN239" s="215"/>
      <c r="AO239" s="215"/>
      <c r="AP239" s="215"/>
      <c r="AQ239" s="215"/>
      <c r="AR239" s="215"/>
      <c r="AS239" s="215"/>
      <c r="AT239" s="215"/>
      <c r="AU239" s="215"/>
      <c r="AV239" s="215"/>
      <c r="AW239" s="215"/>
      <c r="AX239" s="215"/>
      <c r="AY239" s="215"/>
      <c r="AZ239" s="215"/>
      <c r="BA239" s="215"/>
      <c r="BB239" s="215"/>
      <c r="BC239" s="215"/>
      <c r="BD239" s="215"/>
      <c r="BE239" s="215"/>
      <c r="BF239" s="216"/>
      <c r="BG239" s="26"/>
      <c r="BH239" s="25"/>
    </row>
    <row r="240" spans="1:60" ht="14.25" customHeight="1" x14ac:dyDescent="0.25">
      <c r="A240" s="51"/>
      <c r="B240" s="51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16"/>
      <c r="AQ240" s="16"/>
      <c r="AR240" s="16"/>
      <c r="AS240" s="16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1"/>
      <c r="BH240" s="51"/>
    </row>
    <row r="241" spans="1:60" ht="14.25" customHeight="1" x14ac:dyDescent="0.25">
      <c r="A241" s="51"/>
      <c r="B241" s="51"/>
      <c r="C241" s="160" t="s">
        <v>327</v>
      </c>
      <c r="D241" s="160"/>
      <c r="E241" s="160"/>
      <c r="F241" s="160"/>
      <c r="G241" s="160"/>
      <c r="H241" s="175"/>
      <c r="I241" s="200"/>
      <c r="J241" s="200"/>
      <c r="K241" s="200"/>
      <c r="L241" s="200"/>
      <c r="M241" s="200"/>
      <c r="N241" s="200"/>
      <c r="O241" s="22"/>
      <c r="P241" s="24"/>
      <c r="Q241" s="94"/>
      <c r="R241" s="212"/>
      <c r="S241" s="212"/>
      <c r="T241" s="212"/>
      <c r="U241" s="212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12"/>
      <c r="AF241" s="212"/>
      <c r="AG241" s="212"/>
      <c r="AH241" s="212"/>
      <c r="AI241" s="212"/>
      <c r="AJ241" s="212"/>
      <c r="AK241" s="212"/>
      <c r="AL241" s="212"/>
      <c r="AM241" s="212"/>
      <c r="AN241" s="212"/>
      <c r="AO241" s="212"/>
      <c r="AP241" s="212"/>
      <c r="AQ241" s="212"/>
      <c r="AR241" s="212"/>
      <c r="AS241" s="212"/>
      <c r="AT241" s="212"/>
      <c r="AU241" s="212"/>
      <c r="AV241" s="212"/>
      <c r="AW241" s="212"/>
      <c r="AX241" s="212"/>
      <c r="AY241" s="212"/>
      <c r="AZ241" s="212"/>
      <c r="BA241" s="212"/>
      <c r="BB241" s="212"/>
      <c r="BC241" s="212"/>
      <c r="BD241" s="212"/>
      <c r="BE241" s="212"/>
      <c r="BF241" s="213"/>
      <c r="BG241" s="26"/>
      <c r="BH241" s="25"/>
    </row>
    <row r="242" spans="1:60" ht="14.25" customHeight="1" x14ac:dyDescent="0.25">
      <c r="A242" s="51"/>
      <c r="B242" s="51"/>
      <c r="C242" s="160"/>
      <c r="D242" s="160"/>
      <c r="E242" s="160"/>
      <c r="F242" s="160"/>
      <c r="G242" s="160"/>
      <c r="H242" s="175"/>
      <c r="I242" s="200"/>
      <c r="J242" s="200"/>
      <c r="K242" s="200"/>
      <c r="L242" s="200"/>
      <c r="M242" s="200"/>
      <c r="N242" s="200"/>
      <c r="O242" s="22"/>
      <c r="P242" s="24"/>
      <c r="Q242" s="214"/>
      <c r="R242" s="215"/>
      <c r="S242" s="215"/>
      <c r="T242" s="215"/>
      <c r="U242" s="215"/>
      <c r="V242" s="215"/>
      <c r="W242" s="215"/>
      <c r="X242" s="215"/>
      <c r="Y242" s="215"/>
      <c r="Z242" s="215"/>
      <c r="AA242" s="215"/>
      <c r="AB242" s="215"/>
      <c r="AC242" s="215"/>
      <c r="AD242" s="215"/>
      <c r="AE242" s="215"/>
      <c r="AF242" s="215"/>
      <c r="AG242" s="215"/>
      <c r="AH242" s="215"/>
      <c r="AI242" s="215"/>
      <c r="AJ242" s="215"/>
      <c r="AK242" s="215"/>
      <c r="AL242" s="215"/>
      <c r="AM242" s="215"/>
      <c r="AN242" s="215"/>
      <c r="AO242" s="215"/>
      <c r="AP242" s="215"/>
      <c r="AQ242" s="215"/>
      <c r="AR242" s="215"/>
      <c r="AS242" s="215"/>
      <c r="AT242" s="215"/>
      <c r="AU242" s="215"/>
      <c r="AV242" s="215"/>
      <c r="AW242" s="215"/>
      <c r="AX242" s="215"/>
      <c r="AY242" s="215"/>
      <c r="AZ242" s="215"/>
      <c r="BA242" s="215"/>
      <c r="BB242" s="215"/>
      <c r="BC242" s="215"/>
      <c r="BD242" s="215"/>
      <c r="BE242" s="215"/>
      <c r="BF242" s="216"/>
      <c r="BG242" s="26"/>
      <c r="BH242" s="25"/>
    </row>
    <row r="243" spans="1:60" ht="14.25" customHeight="1" x14ac:dyDescent="0.25">
      <c r="A243" s="51"/>
      <c r="B243" s="51"/>
      <c r="C243" s="210"/>
      <c r="D243" s="217"/>
      <c r="E243" s="217"/>
      <c r="F243" s="217"/>
      <c r="G243" s="217"/>
      <c r="H243" s="217"/>
      <c r="I243" s="217"/>
      <c r="J243" s="217"/>
      <c r="K243" s="217"/>
      <c r="L243" s="217"/>
      <c r="M243" s="217"/>
      <c r="N243" s="217"/>
      <c r="O243" s="217"/>
      <c r="P243" s="217"/>
      <c r="Q243" s="217"/>
      <c r="R243" s="217"/>
      <c r="S243" s="217"/>
      <c r="T243" s="217"/>
      <c r="U243" s="217"/>
      <c r="V243" s="217"/>
      <c r="W243" s="217"/>
      <c r="X243" s="217"/>
      <c r="Y243" s="217"/>
      <c r="Z243" s="217"/>
      <c r="AA243" s="217"/>
      <c r="AB243" s="217"/>
      <c r="AC243" s="217"/>
      <c r="AD243" s="217"/>
      <c r="AE243" s="217"/>
      <c r="AF243" s="217"/>
      <c r="AG243" s="217"/>
      <c r="AH243" s="217"/>
      <c r="AI243" s="217"/>
      <c r="AJ243" s="217"/>
      <c r="AK243" s="217"/>
      <c r="AL243" s="217"/>
      <c r="AM243" s="217"/>
      <c r="AN243" s="217"/>
      <c r="AO243" s="217"/>
      <c r="AP243" s="217"/>
      <c r="AQ243" s="217"/>
      <c r="AR243" s="217"/>
      <c r="AS243" s="217"/>
      <c r="AT243" s="217"/>
      <c r="AU243" s="217"/>
      <c r="AV243" s="217"/>
      <c r="AW243" s="217"/>
      <c r="AX243" s="217"/>
      <c r="AY243" s="217"/>
      <c r="AZ243" s="217"/>
      <c r="BA243" s="217"/>
      <c r="BB243" s="217"/>
      <c r="BC243" s="217"/>
      <c r="BD243" s="217"/>
      <c r="BE243" s="217"/>
      <c r="BF243" s="217"/>
      <c r="BG243" s="51"/>
      <c r="BH243" s="51"/>
    </row>
    <row r="244" spans="1:60" ht="14.25" customHeight="1" x14ac:dyDescent="0.25"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</row>
    <row r="245" spans="1:60" ht="14.25" customHeight="1" x14ac:dyDescent="0.25"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</row>
    <row r="246" spans="1:60" ht="14.25" customHeight="1" x14ac:dyDescent="0.25"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</row>
    <row r="247" spans="1:60" ht="14.25" customHeight="1" x14ac:dyDescent="0.25">
      <c r="B247" s="59"/>
      <c r="C247" s="160" t="s">
        <v>39</v>
      </c>
      <c r="D247" s="160"/>
      <c r="E247" s="160"/>
      <c r="F247" s="160"/>
      <c r="G247" s="160"/>
      <c r="H247" s="175"/>
      <c r="I247" s="169"/>
      <c r="J247" s="170"/>
      <c r="K247" s="170"/>
      <c r="L247" s="170"/>
      <c r="M247" s="170"/>
      <c r="N247" s="170"/>
      <c r="O247" s="170"/>
      <c r="P247" s="170"/>
      <c r="Q247" s="170"/>
      <c r="R247" s="170"/>
      <c r="S247" s="170"/>
      <c r="T247" s="170"/>
      <c r="U247" s="170"/>
      <c r="V247" s="170"/>
      <c r="W247" s="170"/>
      <c r="X247" s="170"/>
      <c r="Y247" s="170"/>
      <c r="Z247" s="170"/>
      <c r="AA247" s="170"/>
      <c r="AB247" s="170"/>
      <c r="AC247" s="171"/>
      <c r="AD247" s="229" t="s">
        <v>40</v>
      </c>
      <c r="AE247" s="245"/>
      <c r="AF247" s="245"/>
      <c r="AG247" s="245"/>
      <c r="AH247" s="245"/>
      <c r="AI247" s="245"/>
      <c r="AJ247" s="245"/>
      <c r="AK247" s="246"/>
      <c r="AL247" s="94"/>
      <c r="AM247" s="95"/>
      <c r="AN247" s="95"/>
      <c r="AO247" s="95"/>
      <c r="AP247" s="96"/>
      <c r="AQ247" s="229" t="s">
        <v>41</v>
      </c>
      <c r="AR247" s="200"/>
      <c r="AS247" s="200"/>
      <c r="AT247" s="200"/>
      <c r="AU247" s="200"/>
      <c r="AV247" s="218"/>
      <c r="AW247" s="169"/>
      <c r="AX247" s="170"/>
      <c r="AY247" s="170"/>
      <c r="AZ247" s="170"/>
      <c r="BA247" s="170"/>
      <c r="BB247" s="170"/>
      <c r="BC247" s="170"/>
      <c r="BD247" s="170"/>
      <c r="BE247" s="170"/>
      <c r="BF247" s="171"/>
      <c r="BG247" s="59"/>
      <c r="BH247" s="59"/>
    </row>
    <row r="248" spans="1:60" ht="14.25" customHeight="1" x14ac:dyDescent="0.25">
      <c r="B248" s="59"/>
      <c r="C248" s="160"/>
      <c r="D248" s="160"/>
      <c r="E248" s="160"/>
      <c r="F248" s="160"/>
      <c r="G248" s="160"/>
      <c r="H248" s="175"/>
      <c r="I248" s="172"/>
      <c r="J248" s="173"/>
      <c r="K248" s="173"/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3"/>
      <c r="W248" s="173"/>
      <c r="X248" s="173"/>
      <c r="Y248" s="173"/>
      <c r="Z248" s="173"/>
      <c r="AA248" s="173"/>
      <c r="AB248" s="173"/>
      <c r="AC248" s="174"/>
      <c r="AD248" s="247"/>
      <c r="AE248" s="245"/>
      <c r="AF248" s="245"/>
      <c r="AG248" s="245"/>
      <c r="AH248" s="245"/>
      <c r="AI248" s="245"/>
      <c r="AJ248" s="245"/>
      <c r="AK248" s="246"/>
      <c r="AL248" s="97"/>
      <c r="AM248" s="98"/>
      <c r="AN248" s="98"/>
      <c r="AO248" s="98"/>
      <c r="AP248" s="99"/>
      <c r="AQ248" s="233"/>
      <c r="AR248" s="200"/>
      <c r="AS248" s="200"/>
      <c r="AT248" s="200"/>
      <c r="AU248" s="200"/>
      <c r="AV248" s="218"/>
      <c r="AW248" s="172"/>
      <c r="AX248" s="173"/>
      <c r="AY248" s="173"/>
      <c r="AZ248" s="173"/>
      <c r="BA248" s="173"/>
      <c r="BB248" s="173"/>
      <c r="BC248" s="173"/>
      <c r="BD248" s="173"/>
      <c r="BE248" s="173"/>
      <c r="BF248" s="174"/>
      <c r="BG248" s="59"/>
      <c r="BH248" s="59"/>
    </row>
    <row r="249" spans="1:60" ht="14.25" customHeight="1" x14ac:dyDescent="0.25">
      <c r="B249" s="59"/>
      <c r="C249" s="58"/>
      <c r="D249" s="58"/>
      <c r="E249" s="58"/>
      <c r="F249" s="58"/>
      <c r="G249" s="58"/>
      <c r="H249" s="58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8"/>
      <c r="AG249" s="58"/>
      <c r="AH249" s="58"/>
      <c r="AI249" s="58"/>
      <c r="AJ249" s="58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</row>
    <row r="250" spans="1:60" ht="14.25" customHeight="1" x14ac:dyDescent="0.25">
      <c r="B250" s="59"/>
      <c r="C250" s="160" t="s">
        <v>42</v>
      </c>
      <c r="D250" s="160"/>
      <c r="E250" s="160"/>
      <c r="F250" s="160"/>
      <c r="G250" s="160"/>
      <c r="H250" s="59"/>
      <c r="I250" s="169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  <c r="Z250" s="170"/>
      <c r="AA250" s="170"/>
      <c r="AB250" s="170"/>
      <c r="AC250" s="171"/>
      <c r="AD250" s="229" t="s">
        <v>43</v>
      </c>
      <c r="AE250" s="245"/>
      <c r="AF250" s="245"/>
      <c r="AG250" s="245"/>
      <c r="AH250" s="245"/>
      <c r="AI250" s="245"/>
      <c r="AJ250" s="245"/>
      <c r="AK250" s="246"/>
      <c r="AL250" s="169"/>
      <c r="AM250" s="170"/>
      <c r="AN250" s="170"/>
      <c r="AO250" s="170"/>
      <c r="AP250" s="170"/>
      <c r="AQ250" s="170"/>
      <c r="AR250" s="170"/>
      <c r="AS250" s="170"/>
      <c r="AT250" s="170"/>
      <c r="AU250" s="170"/>
      <c r="AV250" s="170"/>
      <c r="AW250" s="170"/>
      <c r="AX250" s="170"/>
      <c r="AY250" s="170"/>
      <c r="AZ250" s="170"/>
      <c r="BA250" s="170"/>
      <c r="BB250" s="170"/>
      <c r="BC250" s="170"/>
      <c r="BD250" s="170"/>
      <c r="BE250" s="170"/>
      <c r="BF250" s="171"/>
      <c r="BG250" s="59"/>
      <c r="BH250" s="59"/>
    </row>
    <row r="251" spans="1:60" ht="14.25" customHeight="1" x14ac:dyDescent="0.25">
      <c r="B251" s="59"/>
      <c r="C251" s="160"/>
      <c r="D251" s="160"/>
      <c r="E251" s="160"/>
      <c r="F251" s="160"/>
      <c r="G251" s="160"/>
      <c r="H251" s="59"/>
      <c r="I251" s="172"/>
      <c r="J251" s="173"/>
      <c r="K251" s="173"/>
      <c r="L251" s="173"/>
      <c r="M251" s="173"/>
      <c r="N251" s="173"/>
      <c r="O251" s="173"/>
      <c r="P251" s="173"/>
      <c r="Q251" s="173"/>
      <c r="R251" s="173"/>
      <c r="S251" s="173"/>
      <c r="T251" s="173"/>
      <c r="U251" s="173"/>
      <c r="V251" s="173"/>
      <c r="W251" s="173"/>
      <c r="X251" s="173"/>
      <c r="Y251" s="173"/>
      <c r="Z251" s="173"/>
      <c r="AA251" s="173"/>
      <c r="AB251" s="173"/>
      <c r="AC251" s="174"/>
      <c r="AD251" s="247"/>
      <c r="AE251" s="245"/>
      <c r="AF251" s="245"/>
      <c r="AG251" s="245"/>
      <c r="AH251" s="245"/>
      <c r="AI251" s="245"/>
      <c r="AJ251" s="245"/>
      <c r="AK251" s="246"/>
      <c r="AL251" s="172"/>
      <c r="AM251" s="173"/>
      <c r="AN251" s="173"/>
      <c r="AO251" s="173"/>
      <c r="AP251" s="173"/>
      <c r="AQ251" s="173"/>
      <c r="AR251" s="173"/>
      <c r="AS251" s="173"/>
      <c r="AT251" s="173"/>
      <c r="AU251" s="173"/>
      <c r="AV251" s="173"/>
      <c r="AW251" s="173"/>
      <c r="AX251" s="173"/>
      <c r="AY251" s="173"/>
      <c r="AZ251" s="173"/>
      <c r="BA251" s="173"/>
      <c r="BB251" s="173"/>
      <c r="BC251" s="173"/>
      <c r="BD251" s="173"/>
      <c r="BE251" s="173"/>
      <c r="BF251" s="174"/>
      <c r="BG251" s="59"/>
      <c r="BH251" s="59"/>
    </row>
    <row r="252" spans="1:60" ht="14.25" customHeight="1" x14ac:dyDescent="0.25"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8"/>
      <c r="AG252" s="58"/>
      <c r="AH252" s="58"/>
      <c r="AI252" s="58"/>
      <c r="AJ252" s="58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</row>
    <row r="253" spans="1:60" ht="14.25" customHeight="1" x14ac:dyDescent="0.25">
      <c r="B253" s="59"/>
      <c r="C253" s="160" t="s">
        <v>44</v>
      </c>
      <c r="D253" s="160"/>
      <c r="E253" s="160"/>
      <c r="F253" s="160"/>
      <c r="G253" s="160"/>
      <c r="H253" s="59"/>
      <c r="I253" s="169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1"/>
      <c r="AD253" s="59"/>
      <c r="AE253" s="239" t="s">
        <v>45</v>
      </c>
      <c r="AF253" s="239"/>
      <c r="AG253" s="239"/>
      <c r="AH253" s="239"/>
      <c r="AI253" s="239"/>
      <c r="AJ253" s="239"/>
      <c r="AK253" s="239"/>
      <c r="AL253" s="239"/>
      <c r="AM253" s="239"/>
      <c r="AN253" s="239"/>
      <c r="AO253" s="239"/>
      <c r="AP253" s="239"/>
      <c r="AQ253" s="239"/>
      <c r="AR253" s="239"/>
      <c r="AS253" s="239"/>
      <c r="AT253" s="94" t="s">
        <v>46</v>
      </c>
      <c r="AU253" s="95"/>
      <c r="AV253" s="95"/>
      <c r="AW253" s="96"/>
      <c r="AX253" s="36"/>
      <c r="AY253" s="162" t="s">
        <v>259</v>
      </c>
      <c r="AZ253" s="162"/>
      <c r="BA253" s="240"/>
      <c r="BB253" s="115"/>
      <c r="BC253" s="116"/>
      <c r="BD253" s="116"/>
      <c r="BE253" s="116"/>
      <c r="BF253" s="117"/>
      <c r="BG253" s="59"/>
      <c r="BH253" s="59"/>
    </row>
    <row r="254" spans="1:60" ht="14.25" customHeight="1" x14ac:dyDescent="0.25">
      <c r="B254" s="59"/>
      <c r="C254" s="160"/>
      <c r="D254" s="160"/>
      <c r="E254" s="160"/>
      <c r="F254" s="160"/>
      <c r="G254" s="160"/>
      <c r="H254" s="59"/>
      <c r="I254" s="172"/>
      <c r="J254" s="173"/>
      <c r="K254" s="173"/>
      <c r="L254" s="173"/>
      <c r="M254" s="173"/>
      <c r="N254" s="173"/>
      <c r="O254" s="173"/>
      <c r="P254" s="173"/>
      <c r="Q254" s="173"/>
      <c r="R254" s="173"/>
      <c r="S254" s="173"/>
      <c r="T254" s="173"/>
      <c r="U254" s="173"/>
      <c r="V254" s="173"/>
      <c r="W254" s="173"/>
      <c r="X254" s="173"/>
      <c r="Y254" s="173"/>
      <c r="Z254" s="173"/>
      <c r="AA254" s="173"/>
      <c r="AB254" s="173"/>
      <c r="AC254" s="174"/>
      <c r="AD254" s="59"/>
      <c r="AE254" s="239"/>
      <c r="AF254" s="239"/>
      <c r="AG254" s="239"/>
      <c r="AH254" s="239"/>
      <c r="AI254" s="239"/>
      <c r="AJ254" s="239"/>
      <c r="AK254" s="239"/>
      <c r="AL254" s="239"/>
      <c r="AM254" s="239"/>
      <c r="AN254" s="239"/>
      <c r="AO254" s="239"/>
      <c r="AP254" s="239"/>
      <c r="AQ254" s="239"/>
      <c r="AR254" s="239"/>
      <c r="AS254" s="239"/>
      <c r="AT254" s="97"/>
      <c r="AU254" s="98"/>
      <c r="AV254" s="98"/>
      <c r="AW254" s="99"/>
      <c r="AX254" s="36"/>
      <c r="AY254" s="162"/>
      <c r="AZ254" s="162"/>
      <c r="BA254" s="240"/>
      <c r="BB254" s="118"/>
      <c r="BC254" s="119"/>
      <c r="BD254" s="119"/>
      <c r="BE254" s="119"/>
      <c r="BF254" s="120"/>
      <c r="BG254" s="59"/>
      <c r="BH254" s="59"/>
    </row>
    <row r="255" spans="1:60" ht="14.25" customHeight="1" x14ac:dyDescent="0.25"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</row>
    <row r="256" spans="1:60" ht="14.25" customHeight="1" x14ac:dyDescent="0.25">
      <c r="B256" s="59"/>
      <c r="C256" s="143" t="s">
        <v>262</v>
      </c>
      <c r="D256" s="143"/>
      <c r="E256" s="143"/>
      <c r="F256" s="143"/>
      <c r="G256" s="143"/>
      <c r="H256" s="59"/>
      <c r="I256" s="100" t="s">
        <v>31</v>
      </c>
      <c r="J256" s="101"/>
      <c r="K256" s="101"/>
      <c r="L256" s="101"/>
      <c r="M256" s="101"/>
      <c r="N256" s="101"/>
      <c r="O256" s="101"/>
      <c r="P256" s="101"/>
      <c r="Q256" s="248"/>
      <c r="R256" s="248"/>
      <c r="S256" s="248"/>
      <c r="T256" s="248"/>
      <c r="U256" s="248"/>
      <c r="V256" s="249"/>
      <c r="W256" s="146" t="s">
        <v>295</v>
      </c>
      <c r="X256" s="146"/>
      <c r="Y256" s="146"/>
      <c r="Z256" s="144"/>
      <c r="AA256" s="115"/>
      <c r="AB256" s="133"/>
      <c r="AC256" s="133"/>
      <c r="AD256" s="134"/>
      <c r="AE256" s="146" t="s">
        <v>263</v>
      </c>
      <c r="AF256" s="155"/>
      <c r="AG256" s="155"/>
      <c r="AH256" s="155"/>
      <c r="AI256" s="144"/>
      <c r="AJ256" s="115"/>
      <c r="AK256" s="252"/>
      <c r="AL256" s="252"/>
      <c r="AM256" s="252"/>
      <c r="AN256" s="252"/>
      <c r="AO256" s="252"/>
      <c r="AP256" s="252"/>
      <c r="AQ256" s="253"/>
      <c r="AR256" s="19"/>
      <c r="AS256" s="221" t="s">
        <v>264</v>
      </c>
      <c r="AT256" s="221"/>
      <c r="AU256" s="221"/>
      <c r="AV256" s="221"/>
      <c r="AW256" s="221"/>
      <c r="AX256" s="167"/>
      <c r="AY256" s="94"/>
      <c r="AZ256" s="95"/>
      <c r="BA256" s="95"/>
      <c r="BB256" s="95"/>
      <c r="BC256" s="95"/>
      <c r="BD256" s="95"/>
      <c r="BE256" s="95"/>
      <c r="BF256" s="96"/>
      <c r="BG256" s="59"/>
      <c r="BH256" s="59"/>
    </row>
    <row r="257" spans="1:60" ht="14.25" customHeight="1" x14ac:dyDescent="0.25">
      <c r="B257" s="59"/>
      <c r="C257" s="143"/>
      <c r="D257" s="143"/>
      <c r="E257" s="143"/>
      <c r="F257" s="143"/>
      <c r="G257" s="143"/>
      <c r="H257" s="59"/>
      <c r="I257" s="103"/>
      <c r="J257" s="104"/>
      <c r="K257" s="104"/>
      <c r="L257" s="104"/>
      <c r="M257" s="104"/>
      <c r="N257" s="104"/>
      <c r="O257" s="104"/>
      <c r="P257" s="104"/>
      <c r="Q257" s="250"/>
      <c r="R257" s="250"/>
      <c r="S257" s="250"/>
      <c r="T257" s="250"/>
      <c r="U257" s="250"/>
      <c r="V257" s="251"/>
      <c r="W257" s="146"/>
      <c r="X257" s="146"/>
      <c r="Y257" s="146"/>
      <c r="Z257" s="144"/>
      <c r="AA257" s="135"/>
      <c r="AB257" s="136"/>
      <c r="AC257" s="136"/>
      <c r="AD257" s="137"/>
      <c r="AE257" s="155"/>
      <c r="AF257" s="155"/>
      <c r="AG257" s="155"/>
      <c r="AH257" s="155"/>
      <c r="AI257" s="144"/>
      <c r="AJ257" s="254"/>
      <c r="AK257" s="255"/>
      <c r="AL257" s="255"/>
      <c r="AM257" s="255"/>
      <c r="AN257" s="255"/>
      <c r="AO257" s="255"/>
      <c r="AP257" s="255"/>
      <c r="AQ257" s="256"/>
      <c r="AR257" s="19"/>
      <c r="AS257" s="221"/>
      <c r="AT257" s="221"/>
      <c r="AU257" s="221"/>
      <c r="AV257" s="221"/>
      <c r="AW257" s="221"/>
      <c r="AX257" s="167"/>
      <c r="AY257" s="97"/>
      <c r="AZ257" s="98"/>
      <c r="BA257" s="98"/>
      <c r="BB257" s="98"/>
      <c r="BC257" s="98"/>
      <c r="BD257" s="98"/>
      <c r="BE257" s="98"/>
      <c r="BF257" s="99"/>
      <c r="BG257" s="59"/>
      <c r="BH257" s="59"/>
    </row>
    <row r="258" spans="1:60" ht="14.25" customHeight="1" x14ac:dyDescent="0.25"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</row>
    <row r="259" spans="1:60" ht="14.25" customHeight="1" x14ac:dyDescent="0.25">
      <c r="B259" s="59"/>
      <c r="C259" s="143" t="s">
        <v>296</v>
      </c>
      <c r="D259" s="143"/>
      <c r="E259" s="143"/>
      <c r="F259" s="143"/>
      <c r="G259" s="143"/>
      <c r="H259" s="218"/>
      <c r="I259" s="115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7"/>
      <c r="AP259" s="145" t="s">
        <v>265</v>
      </c>
      <c r="AQ259" s="200"/>
      <c r="AR259" s="200"/>
      <c r="AS259" s="200"/>
      <c r="AT259" s="200"/>
      <c r="AU259" s="200"/>
      <c r="AV259" s="200"/>
      <c r="AW259" s="200"/>
      <c r="AX259" s="218"/>
      <c r="AY259" s="115"/>
      <c r="AZ259" s="116"/>
      <c r="BA259" s="116"/>
      <c r="BB259" s="116"/>
      <c r="BC259" s="116"/>
      <c r="BD259" s="116"/>
      <c r="BE259" s="116"/>
      <c r="BF259" s="117"/>
      <c r="BG259" s="59"/>
      <c r="BH259" s="59"/>
    </row>
    <row r="260" spans="1:60" ht="14.25" customHeight="1" x14ac:dyDescent="0.25">
      <c r="B260" s="59"/>
      <c r="C260" s="143"/>
      <c r="D260" s="143"/>
      <c r="E260" s="143"/>
      <c r="F260" s="143"/>
      <c r="G260" s="143"/>
      <c r="H260" s="218"/>
      <c r="I260" s="118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  <c r="AA260" s="119"/>
      <c r="AB260" s="119"/>
      <c r="AC260" s="119"/>
      <c r="AD260" s="119"/>
      <c r="AE260" s="119"/>
      <c r="AF260" s="119"/>
      <c r="AG260" s="119"/>
      <c r="AH260" s="119"/>
      <c r="AI260" s="119"/>
      <c r="AJ260" s="119"/>
      <c r="AK260" s="119"/>
      <c r="AL260" s="119"/>
      <c r="AM260" s="119"/>
      <c r="AN260" s="119"/>
      <c r="AO260" s="120"/>
      <c r="AP260" s="233"/>
      <c r="AQ260" s="200"/>
      <c r="AR260" s="200"/>
      <c r="AS260" s="200"/>
      <c r="AT260" s="200"/>
      <c r="AU260" s="200"/>
      <c r="AV260" s="200"/>
      <c r="AW260" s="200"/>
      <c r="AX260" s="218"/>
      <c r="AY260" s="118"/>
      <c r="AZ260" s="119"/>
      <c r="BA260" s="119"/>
      <c r="BB260" s="119"/>
      <c r="BC260" s="119"/>
      <c r="BD260" s="119"/>
      <c r="BE260" s="119"/>
      <c r="BF260" s="120"/>
      <c r="BG260" s="59"/>
      <c r="BH260" s="59"/>
    </row>
    <row r="261" spans="1:60" ht="14.25" customHeight="1" x14ac:dyDescent="0.25">
      <c r="B261" s="59"/>
      <c r="C261" s="234" t="s">
        <v>38</v>
      </c>
      <c r="D261" s="234"/>
      <c r="E261" s="234"/>
      <c r="F261" s="234"/>
      <c r="G261" s="234"/>
      <c r="H261" s="234"/>
      <c r="I261" s="234"/>
      <c r="J261" s="234"/>
      <c r="K261" s="234"/>
      <c r="L261" s="234"/>
      <c r="M261" s="234"/>
      <c r="N261" s="234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59"/>
      <c r="AQ261" s="60"/>
      <c r="AR261" s="60"/>
      <c r="AS261" s="60"/>
      <c r="AT261" s="60"/>
      <c r="AU261" s="60"/>
      <c r="AV261" s="60"/>
      <c r="AW261" s="60"/>
      <c r="AX261" s="13"/>
      <c r="AY261" s="22"/>
      <c r="AZ261" s="22"/>
      <c r="BA261" s="22"/>
      <c r="BB261" s="22"/>
      <c r="BC261" s="22"/>
      <c r="BD261" s="22"/>
      <c r="BE261" s="22"/>
      <c r="BF261" s="22"/>
      <c r="BG261" s="59"/>
      <c r="BH261" s="59"/>
    </row>
    <row r="262" spans="1:60" ht="14.25" customHeight="1" x14ac:dyDescent="0.25">
      <c r="B262" s="59"/>
      <c r="C262" s="234"/>
      <c r="D262" s="234"/>
      <c r="E262" s="234"/>
      <c r="F262" s="234"/>
      <c r="G262" s="234"/>
      <c r="H262" s="234"/>
      <c r="I262" s="234"/>
      <c r="J262" s="234"/>
      <c r="K262" s="234"/>
      <c r="L262" s="234"/>
      <c r="M262" s="234"/>
      <c r="N262" s="234"/>
      <c r="O262" s="61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257" t="s">
        <v>267</v>
      </c>
      <c r="AE262" s="258"/>
      <c r="AF262" s="258"/>
      <c r="AG262" s="258"/>
      <c r="AH262" s="258"/>
      <c r="AI262" s="258"/>
      <c r="AJ262" s="258"/>
      <c r="AK262" s="258"/>
      <c r="AL262" s="258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</row>
    <row r="263" spans="1:60" ht="14.25" customHeight="1" x14ac:dyDescent="0.25">
      <c r="B263" s="59"/>
      <c r="C263" s="237" t="s">
        <v>266</v>
      </c>
      <c r="D263" s="237"/>
      <c r="E263" s="237"/>
      <c r="F263" s="237"/>
      <c r="G263" s="237"/>
      <c r="H263" s="237"/>
      <c r="I263" s="237"/>
      <c r="J263" s="237"/>
      <c r="K263" s="238"/>
      <c r="L263" s="115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7"/>
      <c r="AD263" s="258"/>
      <c r="AE263" s="258"/>
      <c r="AF263" s="258"/>
      <c r="AG263" s="258"/>
      <c r="AH263" s="258"/>
      <c r="AI263" s="258"/>
      <c r="AJ263" s="258"/>
      <c r="AK263" s="258"/>
      <c r="AL263" s="258"/>
      <c r="AM263" s="115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7"/>
      <c r="BG263" s="59"/>
      <c r="BH263" s="59"/>
    </row>
    <row r="264" spans="1:60" ht="14.25" customHeight="1" x14ac:dyDescent="0.25">
      <c r="B264" s="59"/>
      <c r="C264" s="237"/>
      <c r="D264" s="237"/>
      <c r="E264" s="237"/>
      <c r="F264" s="237"/>
      <c r="G264" s="237"/>
      <c r="H264" s="237"/>
      <c r="I264" s="237"/>
      <c r="J264" s="237"/>
      <c r="K264" s="238"/>
      <c r="L264" s="118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  <c r="AA264" s="119"/>
      <c r="AB264" s="119"/>
      <c r="AC264" s="120"/>
      <c r="AD264" s="258"/>
      <c r="AE264" s="258"/>
      <c r="AF264" s="258"/>
      <c r="AG264" s="258"/>
      <c r="AH264" s="258"/>
      <c r="AI264" s="258"/>
      <c r="AJ264" s="258"/>
      <c r="AK264" s="258"/>
      <c r="AL264" s="258"/>
      <c r="AM264" s="118"/>
      <c r="AN264" s="119"/>
      <c r="AO264" s="119"/>
      <c r="AP264" s="119"/>
      <c r="AQ264" s="119"/>
      <c r="AR264" s="119"/>
      <c r="AS264" s="119"/>
      <c r="AT264" s="119"/>
      <c r="AU264" s="119"/>
      <c r="AV264" s="119"/>
      <c r="AW264" s="119"/>
      <c r="AX264" s="119"/>
      <c r="AY264" s="119"/>
      <c r="AZ264" s="119"/>
      <c r="BA264" s="119"/>
      <c r="BB264" s="119"/>
      <c r="BC264" s="119"/>
      <c r="BD264" s="119"/>
      <c r="BE264" s="119"/>
      <c r="BF264" s="120"/>
      <c r="BG264" s="59"/>
      <c r="BH264" s="59"/>
    </row>
    <row r="265" spans="1:60" ht="14.25" customHeight="1" x14ac:dyDescent="0.25"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226" t="s">
        <v>270</v>
      </c>
      <c r="AP265" s="227"/>
      <c r="AQ265" s="227"/>
      <c r="AR265" s="227"/>
      <c r="AS265" s="227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</row>
    <row r="266" spans="1:60" ht="14.25" customHeight="1" x14ac:dyDescent="0.25">
      <c r="B266" s="59"/>
      <c r="C266" s="143" t="s">
        <v>268</v>
      </c>
      <c r="D266" s="143"/>
      <c r="E266" s="143"/>
      <c r="F266" s="200"/>
      <c r="G266" s="59"/>
      <c r="H266" s="59"/>
      <c r="I266" s="115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7"/>
      <c r="AD266" s="59"/>
      <c r="AE266" s="59"/>
      <c r="AF266" s="59"/>
      <c r="AG266" s="143" t="s">
        <v>269</v>
      </c>
      <c r="AH266" s="200"/>
      <c r="AI266" s="200"/>
      <c r="AJ266" s="218"/>
      <c r="AK266" s="122"/>
      <c r="AL266" s="123"/>
      <c r="AM266" s="123"/>
      <c r="AN266" s="124"/>
      <c r="AO266" s="228"/>
      <c r="AP266" s="228"/>
      <c r="AQ266" s="228"/>
      <c r="AR266" s="228"/>
      <c r="AS266" s="228"/>
      <c r="AT266" s="122"/>
      <c r="AU266" s="123"/>
      <c r="AV266" s="123"/>
      <c r="AW266" s="124"/>
      <c r="AX266" s="229" t="s">
        <v>271</v>
      </c>
      <c r="AY266" s="230"/>
      <c r="AZ266" s="230"/>
      <c r="BA266" s="230"/>
      <c r="BB266" s="231"/>
      <c r="BC266" s="122"/>
      <c r="BD266" s="123"/>
      <c r="BE266" s="123"/>
      <c r="BF266" s="124"/>
      <c r="BG266" s="59"/>
      <c r="BH266" s="59"/>
    </row>
    <row r="267" spans="1:60" ht="14.25" customHeight="1" x14ac:dyDescent="0.25">
      <c r="B267" s="59"/>
      <c r="C267" s="143"/>
      <c r="D267" s="143"/>
      <c r="E267" s="143"/>
      <c r="F267" s="200"/>
      <c r="G267" s="59"/>
      <c r="H267" s="59"/>
      <c r="I267" s="118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  <c r="AA267" s="119"/>
      <c r="AB267" s="119"/>
      <c r="AC267" s="120"/>
      <c r="AD267" s="59"/>
      <c r="AE267" s="59"/>
      <c r="AF267" s="59"/>
      <c r="AG267" s="200"/>
      <c r="AH267" s="200"/>
      <c r="AI267" s="200"/>
      <c r="AJ267" s="218"/>
      <c r="AK267" s="125"/>
      <c r="AL267" s="126"/>
      <c r="AM267" s="126"/>
      <c r="AN267" s="127"/>
      <c r="AO267" s="228"/>
      <c r="AP267" s="228"/>
      <c r="AQ267" s="228"/>
      <c r="AR267" s="228"/>
      <c r="AS267" s="228"/>
      <c r="AT267" s="125"/>
      <c r="AU267" s="126"/>
      <c r="AV267" s="126"/>
      <c r="AW267" s="127"/>
      <c r="AX267" s="232"/>
      <c r="AY267" s="230"/>
      <c r="AZ267" s="230"/>
      <c r="BA267" s="230"/>
      <c r="BB267" s="231"/>
      <c r="BC267" s="125"/>
      <c r="BD267" s="126"/>
      <c r="BE267" s="126"/>
      <c r="BF267" s="127"/>
      <c r="BG267" s="59"/>
      <c r="BH267" s="59"/>
    </row>
    <row r="268" spans="1:60" ht="14.25" customHeight="1" x14ac:dyDescent="0.25"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</row>
    <row r="269" spans="1:60" ht="14.25" customHeight="1" x14ac:dyDescent="0.25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/>
      <c r="AD269" s="64"/>
      <c r="AE269" s="64"/>
      <c r="AF269" s="64"/>
      <c r="AG269" s="64"/>
      <c r="AH269" s="64"/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/>
      <c r="BB269" s="64"/>
      <c r="BC269" s="64"/>
      <c r="BD269" s="64"/>
      <c r="BE269" s="64"/>
      <c r="BF269" s="64"/>
      <c r="BG269" s="64"/>
      <c r="BH269" s="64"/>
    </row>
    <row r="270" spans="1:60" ht="14.25" customHeight="1" x14ac:dyDescent="0.25">
      <c r="A270" s="64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/>
      <c r="AD270" s="64"/>
      <c r="AE270" s="64"/>
      <c r="AF270" s="64"/>
      <c r="AG270" s="64"/>
      <c r="AH270" s="64"/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/>
      <c r="BB270" s="64"/>
      <c r="BC270" s="64"/>
      <c r="BD270" s="64"/>
      <c r="BE270" s="64"/>
      <c r="BF270" s="64"/>
      <c r="BG270" s="64"/>
      <c r="BH270" s="64"/>
    </row>
    <row r="271" spans="1:60" ht="14.25" customHeight="1" x14ac:dyDescent="0.25">
      <c r="A271" s="64"/>
      <c r="B271" s="64"/>
      <c r="C271" s="64"/>
      <c r="D271" s="64"/>
      <c r="E271" s="64"/>
      <c r="F271" s="64"/>
      <c r="G271" s="63" t="s">
        <v>18</v>
      </c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23" t="s">
        <v>19</v>
      </c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  <c r="AM271" s="64"/>
      <c r="AN271" s="64"/>
      <c r="AO271" s="23" t="s">
        <v>20</v>
      </c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23" t="s">
        <v>21</v>
      </c>
      <c r="BA271" s="64"/>
      <c r="BB271" s="64"/>
      <c r="BC271" s="64"/>
      <c r="BD271" s="64"/>
      <c r="BE271" s="64"/>
      <c r="BF271" s="64"/>
      <c r="BG271" s="64"/>
      <c r="BH271" s="64"/>
    </row>
    <row r="272" spans="1:60" ht="14.25" customHeight="1" x14ac:dyDescent="0.25">
      <c r="A272" s="64"/>
      <c r="B272" s="64"/>
      <c r="C272" s="64"/>
      <c r="D272" s="64"/>
      <c r="E272" s="64"/>
      <c r="F272" s="64"/>
      <c r="G272" s="64"/>
      <c r="H272" s="64"/>
      <c r="I272" s="8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8"/>
      <c r="W272" s="64"/>
      <c r="X272" s="64"/>
      <c r="Y272" s="64"/>
      <c r="Z272" s="64"/>
      <c r="AA272" s="64"/>
      <c r="AB272" s="64"/>
      <c r="AC272" s="64"/>
      <c r="AD272" s="64"/>
      <c r="AE272" s="64"/>
      <c r="AF272" s="64"/>
      <c r="AG272" s="64"/>
      <c r="AH272" s="64"/>
      <c r="AI272" s="64"/>
      <c r="AJ272" s="64"/>
      <c r="AK272" s="64"/>
      <c r="AL272" s="64"/>
      <c r="AM272" s="64"/>
      <c r="AN272" s="64"/>
      <c r="AO272" s="8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8"/>
      <c r="BA272" s="64"/>
      <c r="BB272" s="64"/>
      <c r="BC272" s="64"/>
      <c r="BD272" s="64"/>
      <c r="BE272" s="64"/>
      <c r="BF272" s="64"/>
      <c r="BG272" s="64"/>
      <c r="BH272" s="64"/>
    </row>
    <row r="273" spans="1:60" ht="14.25" customHeight="1" x14ac:dyDescent="0.25">
      <c r="A273" s="64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9" t="s">
        <v>22</v>
      </c>
      <c r="AC273" s="64"/>
      <c r="AD273" s="64"/>
      <c r="AE273" s="64"/>
      <c r="AF273" s="64"/>
      <c r="AG273" s="64"/>
      <c r="AH273" s="64"/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/>
      <c r="BB273" s="64"/>
      <c r="BC273" s="64"/>
      <c r="BD273" s="64"/>
      <c r="BE273" s="64"/>
      <c r="BF273" s="64"/>
      <c r="BG273" s="64"/>
      <c r="BH273" s="64"/>
    </row>
    <row r="274" spans="1:60" ht="14.25" customHeight="1" x14ac:dyDescent="0.25">
      <c r="A274" s="64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/>
      <c r="AD274" s="64"/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/>
      <c r="BB274" s="64"/>
      <c r="BC274" s="64"/>
      <c r="BD274" s="64"/>
      <c r="BE274" s="64"/>
      <c r="BF274" s="64"/>
      <c r="BG274" s="64"/>
      <c r="BH274" s="64"/>
    </row>
    <row r="275" spans="1:60" ht="14.25" customHeight="1" x14ac:dyDescent="0.25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9"/>
      <c r="N275" s="69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  <c r="Z275" s="69"/>
      <c r="AA275" s="69"/>
      <c r="AB275" s="69"/>
      <c r="AC275" s="69"/>
      <c r="AD275" s="69"/>
      <c r="AE275" s="69"/>
      <c r="AF275" s="69"/>
      <c r="AG275" s="69"/>
      <c r="AH275" s="69"/>
      <c r="AI275" s="69"/>
      <c r="AJ275" s="69"/>
      <c r="AK275" s="69"/>
      <c r="AL275" s="69"/>
      <c r="AM275" s="69"/>
      <c r="AN275" s="69"/>
      <c r="AO275" s="69"/>
      <c r="AP275" s="69"/>
      <c r="AQ275" s="69"/>
      <c r="AR275" s="69"/>
      <c r="AS275" s="69"/>
      <c r="AT275" s="69"/>
      <c r="AU275" s="69"/>
      <c r="AV275" s="69"/>
      <c r="AW275" s="69"/>
      <c r="AX275" s="64"/>
      <c r="AY275" s="64"/>
      <c r="AZ275" s="64"/>
      <c r="BA275" s="64"/>
      <c r="BB275" s="64"/>
      <c r="BC275" s="64"/>
      <c r="BD275" s="64"/>
      <c r="BE275" s="64"/>
      <c r="BF275" s="64"/>
      <c r="BG275" s="64"/>
      <c r="BH275" s="64"/>
    </row>
    <row r="276" spans="1:60" ht="14.25" customHeight="1" x14ac:dyDescent="0.25">
      <c r="A276" s="64"/>
      <c r="B276" s="64"/>
      <c r="C276" s="160" t="s">
        <v>47</v>
      </c>
      <c r="D276" s="160"/>
      <c r="E276" s="160"/>
      <c r="F276" s="160"/>
      <c r="G276" s="160"/>
      <c r="H276" s="160"/>
      <c r="I276" s="160"/>
      <c r="J276" s="160"/>
      <c r="K276" s="160"/>
      <c r="L276" s="160"/>
      <c r="M276" s="160"/>
      <c r="N276" s="180"/>
      <c r="O276" s="218"/>
      <c r="P276" s="115"/>
      <c r="Q276" s="212"/>
      <c r="R276" s="212"/>
      <c r="S276" s="212"/>
      <c r="T276" s="213"/>
      <c r="U276" s="146" t="s">
        <v>48</v>
      </c>
      <c r="V276" s="219"/>
      <c r="W276" s="219"/>
      <c r="X276" s="219"/>
      <c r="Y276" s="219"/>
      <c r="Z276" s="219"/>
      <c r="AA276" s="219"/>
      <c r="AB276" s="219"/>
      <c r="AC276" s="220"/>
      <c r="AD276" s="115"/>
      <c r="AE276" s="116"/>
      <c r="AF276" s="116"/>
      <c r="AG276" s="116"/>
      <c r="AH276" s="116"/>
      <c r="AI276" s="116"/>
      <c r="AJ276" s="116"/>
      <c r="AK276" s="117"/>
      <c r="AL276" s="64"/>
      <c r="AM276" s="64"/>
      <c r="AN276" s="64"/>
      <c r="AO276" s="64"/>
      <c r="AP276" s="64"/>
      <c r="AQ276" s="64"/>
      <c r="AR276" s="221" t="s">
        <v>49</v>
      </c>
      <c r="AS276" s="221"/>
      <c r="AT276" s="221"/>
      <c r="AU276" s="221"/>
      <c r="AV276" s="221"/>
      <c r="AW276" s="219"/>
      <c r="AX276" s="64"/>
      <c r="AY276" s="201"/>
      <c r="AZ276" s="202"/>
      <c r="BA276" s="202"/>
      <c r="BB276" s="202"/>
      <c r="BC276" s="202"/>
      <c r="BD276" s="202"/>
      <c r="BE276" s="202"/>
      <c r="BF276" s="203"/>
      <c r="BG276" s="64"/>
      <c r="BH276" s="64"/>
    </row>
    <row r="277" spans="1:60" ht="14.25" customHeight="1" x14ac:dyDescent="0.25">
      <c r="A277" s="64"/>
      <c r="B277" s="64"/>
      <c r="C277" s="160"/>
      <c r="D277" s="160"/>
      <c r="E277" s="160"/>
      <c r="F277" s="160"/>
      <c r="G277" s="160"/>
      <c r="H277" s="160"/>
      <c r="I277" s="160"/>
      <c r="J277" s="160"/>
      <c r="K277" s="160"/>
      <c r="L277" s="160"/>
      <c r="M277" s="160"/>
      <c r="N277" s="180"/>
      <c r="O277" s="218"/>
      <c r="P277" s="214"/>
      <c r="Q277" s="215"/>
      <c r="R277" s="215"/>
      <c r="S277" s="215"/>
      <c r="T277" s="216"/>
      <c r="U277" s="219"/>
      <c r="V277" s="219"/>
      <c r="W277" s="219"/>
      <c r="X277" s="219"/>
      <c r="Y277" s="219"/>
      <c r="Z277" s="219"/>
      <c r="AA277" s="219"/>
      <c r="AB277" s="219"/>
      <c r="AC277" s="220"/>
      <c r="AD277" s="118"/>
      <c r="AE277" s="119"/>
      <c r="AF277" s="119"/>
      <c r="AG277" s="119"/>
      <c r="AH277" s="119"/>
      <c r="AI277" s="119"/>
      <c r="AJ277" s="119"/>
      <c r="AK277" s="120"/>
      <c r="AL277" s="10"/>
      <c r="AM277" s="10"/>
      <c r="AN277" s="10"/>
      <c r="AO277" s="10"/>
      <c r="AP277" s="10"/>
      <c r="AQ277" s="10"/>
      <c r="AR277" s="221"/>
      <c r="AS277" s="221"/>
      <c r="AT277" s="221"/>
      <c r="AU277" s="221"/>
      <c r="AV277" s="221"/>
      <c r="AW277" s="219"/>
      <c r="AX277" s="69"/>
      <c r="AY277" s="204"/>
      <c r="AZ277" s="205"/>
      <c r="BA277" s="205"/>
      <c r="BB277" s="205"/>
      <c r="BC277" s="205"/>
      <c r="BD277" s="205"/>
      <c r="BE277" s="205"/>
      <c r="BF277" s="206"/>
      <c r="BG277" s="64"/>
      <c r="BH277" s="64"/>
    </row>
    <row r="278" spans="1:60" ht="14.25" customHeight="1" x14ac:dyDescent="0.25">
      <c r="A278" s="64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9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/>
      <c r="AD278" s="64"/>
      <c r="AE278" s="64"/>
      <c r="AF278" s="64"/>
      <c r="AG278" s="64"/>
      <c r="AH278" s="64"/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/>
      <c r="BB278" s="64"/>
      <c r="BC278" s="64"/>
      <c r="BD278" s="64"/>
      <c r="BE278" s="64"/>
      <c r="BF278" s="64"/>
      <c r="BG278" s="64"/>
      <c r="BH278" s="64"/>
    </row>
    <row r="279" spans="1:60" ht="14.25" customHeight="1" x14ac:dyDescent="0.25">
      <c r="A279" s="64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/>
      <c r="AD279" s="64"/>
      <c r="AE279" s="64"/>
      <c r="AF279" s="64"/>
      <c r="AG279" s="64"/>
      <c r="AH279" s="64"/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/>
      <c r="BB279" s="64"/>
      <c r="BC279" s="64"/>
      <c r="BD279" s="64"/>
      <c r="BE279" s="64"/>
      <c r="BF279" s="64"/>
      <c r="BG279" s="64"/>
      <c r="BH279" s="64"/>
    </row>
    <row r="280" spans="1:60" ht="14.25" customHeight="1" x14ac:dyDescent="0.25">
      <c r="A280" s="64"/>
      <c r="B280" s="64"/>
      <c r="C280" s="143" t="s">
        <v>50</v>
      </c>
      <c r="D280" s="143"/>
      <c r="E280" s="143"/>
      <c r="F280" s="143"/>
      <c r="G280" s="211"/>
      <c r="H280" s="200"/>
      <c r="I280" s="24"/>
      <c r="J280" s="115"/>
      <c r="K280" s="212"/>
      <c r="L280" s="212"/>
      <c r="M280" s="212"/>
      <c r="N280" s="212"/>
      <c r="O280" s="212"/>
      <c r="P280" s="212"/>
      <c r="Q280" s="212"/>
      <c r="R280" s="212"/>
      <c r="S280" s="212"/>
      <c r="T280" s="212"/>
      <c r="U280" s="212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12"/>
      <c r="AF280" s="212"/>
      <c r="AG280" s="212"/>
      <c r="AH280" s="212"/>
      <c r="AI280" s="212"/>
      <c r="AJ280" s="212"/>
      <c r="AK280" s="212"/>
      <c r="AL280" s="212"/>
      <c r="AM280" s="212"/>
      <c r="AN280" s="213"/>
      <c r="AO280" s="64"/>
      <c r="AP280" s="163" t="s">
        <v>51</v>
      </c>
      <c r="AQ280" s="163"/>
      <c r="AR280" s="163"/>
      <c r="AS280" s="163"/>
      <c r="AT280" s="163"/>
      <c r="AU280" s="163"/>
      <c r="AV280" s="163"/>
      <c r="AW280" s="200"/>
      <c r="AX280" s="218"/>
      <c r="AY280" s="115"/>
      <c r="AZ280" s="116"/>
      <c r="BA280" s="116"/>
      <c r="BB280" s="116"/>
      <c r="BC280" s="116"/>
      <c r="BD280" s="116"/>
      <c r="BE280" s="116"/>
      <c r="BF280" s="117"/>
      <c r="BG280" s="64"/>
      <c r="BH280" s="64"/>
    </row>
    <row r="281" spans="1:60" ht="14.25" customHeight="1" x14ac:dyDescent="0.25">
      <c r="A281" s="69"/>
      <c r="B281" s="69"/>
      <c r="C281" s="143"/>
      <c r="D281" s="143"/>
      <c r="E281" s="143"/>
      <c r="F281" s="143"/>
      <c r="G281" s="211"/>
      <c r="H281" s="200"/>
      <c r="I281" s="24"/>
      <c r="J281" s="214"/>
      <c r="K281" s="215"/>
      <c r="L281" s="215"/>
      <c r="M281" s="215"/>
      <c r="N281" s="215"/>
      <c r="O281" s="215"/>
      <c r="P281" s="215"/>
      <c r="Q281" s="215"/>
      <c r="R281" s="215"/>
      <c r="S281" s="215"/>
      <c r="T281" s="215"/>
      <c r="U281" s="215"/>
      <c r="V281" s="215"/>
      <c r="W281" s="215"/>
      <c r="X281" s="215"/>
      <c r="Y281" s="215"/>
      <c r="Z281" s="215"/>
      <c r="AA281" s="215"/>
      <c r="AB281" s="215"/>
      <c r="AC281" s="215"/>
      <c r="AD281" s="215"/>
      <c r="AE281" s="215"/>
      <c r="AF281" s="215"/>
      <c r="AG281" s="215"/>
      <c r="AH281" s="215"/>
      <c r="AI281" s="215"/>
      <c r="AJ281" s="215"/>
      <c r="AK281" s="215"/>
      <c r="AL281" s="215"/>
      <c r="AM281" s="215"/>
      <c r="AN281" s="216"/>
      <c r="AO281" s="64"/>
      <c r="AP281" s="163"/>
      <c r="AQ281" s="163"/>
      <c r="AR281" s="163"/>
      <c r="AS281" s="163"/>
      <c r="AT281" s="163"/>
      <c r="AU281" s="163"/>
      <c r="AV281" s="163"/>
      <c r="AW281" s="200"/>
      <c r="AX281" s="218"/>
      <c r="AY281" s="118"/>
      <c r="AZ281" s="119"/>
      <c r="BA281" s="119"/>
      <c r="BB281" s="119"/>
      <c r="BC281" s="119"/>
      <c r="BD281" s="119"/>
      <c r="BE281" s="119"/>
      <c r="BF281" s="120"/>
      <c r="BG281" s="69"/>
      <c r="BH281" s="69"/>
    </row>
    <row r="282" spans="1:60" ht="14.25" customHeight="1" x14ac:dyDescent="0.25">
      <c r="A282" s="69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  <c r="AA282" s="69"/>
      <c r="AB282" s="69"/>
      <c r="AC282" s="69"/>
      <c r="AD282" s="69"/>
      <c r="AE282" s="69"/>
      <c r="AF282" s="69"/>
      <c r="AG282" s="69"/>
      <c r="AH282" s="69"/>
      <c r="AI282" s="69"/>
      <c r="AJ282" s="69"/>
      <c r="AK282" s="69"/>
      <c r="AL282" s="69"/>
      <c r="AM282" s="69"/>
      <c r="AN282" s="69"/>
      <c r="AO282" s="69"/>
      <c r="AP282" s="69"/>
      <c r="AQ282" s="69"/>
      <c r="AR282" s="69"/>
      <c r="AS282" s="69"/>
      <c r="AT282" s="69"/>
      <c r="AU282" s="69"/>
      <c r="AV282" s="69"/>
      <c r="AW282" s="69"/>
      <c r="AX282" s="69"/>
      <c r="AY282" s="69"/>
      <c r="AZ282" s="69"/>
      <c r="BA282" s="69"/>
      <c r="BB282" s="69"/>
      <c r="BC282" s="69"/>
      <c r="BD282" s="69"/>
      <c r="BE282" s="69"/>
      <c r="BF282" s="69"/>
      <c r="BG282" s="69"/>
      <c r="BH282" s="69"/>
    </row>
    <row r="283" spans="1:60" ht="14.25" customHeight="1" x14ac:dyDescent="0.25">
      <c r="A283" s="69"/>
      <c r="B283" s="69"/>
      <c r="C283" s="160" t="s">
        <v>52</v>
      </c>
      <c r="D283" s="160"/>
      <c r="E283" s="160"/>
      <c r="F283" s="160"/>
      <c r="G283" s="160"/>
      <c r="H283" s="160"/>
      <c r="I283" s="160"/>
      <c r="J283" s="160"/>
      <c r="K283" s="160"/>
      <c r="L283" s="160"/>
      <c r="M283" s="160"/>
      <c r="N283" s="160"/>
      <c r="O283" s="160"/>
      <c r="P283" s="160"/>
      <c r="Q283" s="160"/>
      <c r="R283" s="160"/>
      <c r="S283" s="160"/>
      <c r="T283" s="160"/>
      <c r="U283" s="160"/>
      <c r="V283" s="160"/>
      <c r="W283" s="180"/>
      <c r="X283" s="222"/>
      <c r="Y283" s="223"/>
      <c r="Z283" s="94"/>
      <c r="AA283" s="212"/>
      <c r="AB283" s="212"/>
      <c r="AC283" s="212"/>
      <c r="AD283" s="212"/>
      <c r="AE283" s="212"/>
      <c r="AF283" s="212"/>
      <c r="AG283" s="212"/>
      <c r="AH283" s="212"/>
      <c r="AI283" s="212"/>
      <c r="AJ283" s="212"/>
      <c r="AK283" s="212"/>
      <c r="AL283" s="212"/>
      <c r="AM283" s="212"/>
      <c r="AN283" s="212"/>
      <c r="AO283" s="212"/>
      <c r="AP283" s="212"/>
      <c r="AQ283" s="212"/>
      <c r="AR283" s="212"/>
      <c r="AS283" s="212"/>
      <c r="AT283" s="212"/>
      <c r="AU283" s="212"/>
      <c r="AV283" s="212"/>
      <c r="AW283" s="212"/>
      <c r="AX283" s="212"/>
      <c r="AY283" s="212"/>
      <c r="AZ283" s="212"/>
      <c r="BA283" s="212"/>
      <c r="BB283" s="212"/>
      <c r="BC283" s="212"/>
      <c r="BD283" s="212"/>
      <c r="BE283" s="212"/>
      <c r="BF283" s="213"/>
      <c r="BG283" s="26"/>
      <c r="BH283" s="25"/>
    </row>
    <row r="284" spans="1:60" ht="14.25" customHeight="1" x14ac:dyDescent="0.25">
      <c r="A284" s="69"/>
      <c r="B284" s="69"/>
      <c r="C284" s="160"/>
      <c r="D284" s="160"/>
      <c r="E284" s="160"/>
      <c r="F284" s="160"/>
      <c r="G284" s="160"/>
      <c r="H284" s="160"/>
      <c r="I284" s="160"/>
      <c r="J284" s="160"/>
      <c r="K284" s="160"/>
      <c r="L284" s="160"/>
      <c r="M284" s="160"/>
      <c r="N284" s="160"/>
      <c r="O284" s="160"/>
      <c r="P284" s="160"/>
      <c r="Q284" s="160"/>
      <c r="R284" s="160"/>
      <c r="S284" s="160"/>
      <c r="T284" s="160"/>
      <c r="U284" s="160"/>
      <c r="V284" s="160"/>
      <c r="W284" s="180"/>
      <c r="X284" s="222"/>
      <c r="Y284" s="223"/>
      <c r="Z284" s="214"/>
      <c r="AA284" s="215"/>
      <c r="AB284" s="215"/>
      <c r="AC284" s="215"/>
      <c r="AD284" s="215"/>
      <c r="AE284" s="215"/>
      <c r="AF284" s="215"/>
      <c r="AG284" s="215"/>
      <c r="AH284" s="215"/>
      <c r="AI284" s="215"/>
      <c r="AJ284" s="215"/>
      <c r="AK284" s="215"/>
      <c r="AL284" s="215"/>
      <c r="AM284" s="215"/>
      <c r="AN284" s="215"/>
      <c r="AO284" s="215"/>
      <c r="AP284" s="215"/>
      <c r="AQ284" s="215"/>
      <c r="AR284" s="215"/>
      <c r="AS284" s="215"/>
      <c r="AT284" s="215"/>
      <c r="AU284" s="215"/>
      <c r="AV284" s="215"/>
      <c r="AW284" s="215"/>
      <c r="AX284" s="215"/>
      <c r="AY284" s="215"/>
      <c r="AZ284" s="215"/>
      <c r="BA284" s="215"/>
      <c r="BB284" s="215"/>
      <c r="BC284" s="215"/>
      <c r="BD284" s="215"/>
      <c r="BE284" s="215"/>
      <c r="BF284" s="216"/>
      <c r="BG284" s="26"/>
      <c r="BH284" s="25"/>
    </row>
    <row r="285" spans="1:60" ht="14.25" customHeight="1" x14ac:dyDescent="0.25">
      <c r="A285" s="69"/>
      <c r="B285" s="69"/>
      <c r="C285" s="63"/>
      <c r="D285" s="63"/>
      <c r="E285" s="63"/>
      <c r="F285" s="63"/>
      <c r="G285" s="63"/>
      <c r="H285" s="6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69"/>
      <c r="AE285" s="69"/>
      <c r="AF285" s="63"/>
      <c r="AG285" s="63"/>
      <c r="AH285" s="63"/>
      <c r="AI285" s="63"/>
      <c r="AJ285" s="63"/>
      <c r="AK285" s="63"/>
      <c r="AL285" s="25"/>
      <c r="AM285" s="25"/>
      <c r="AN285" s="25"/>
      <c r="AO285" s="25"/>
      <c r="AP285" s="25"/>
      <c r="AQ285" s="69"/>
      <c r="AR285" s="66"/>
      <c r="AS285" s="66"/>
      <c r="AT285" s="66"/>
      <c r="AU285" s="66"/>
      <c r="AV285" s="66"/>
      <c r="AW285" s="23"/>
      <c r="AX285" s="23"/>
      <c r="AY285" s="23"/>
      <c r="AZ285" s="23"/>
      <c r="BA285" s="23"/>
      <c r="BB285" s="23"/>
      <c r="BC285" s="23"/>
      <c r="BD285" s="23"/>
      <c r="BE285" s="23"/>
      <c r="BF285" s="23"/>
      <c r="BG285" s="69"/>
      <c r="BH285" s="69"/>
    </row>
    <row r="286" spans="1:60" ht="14.25" customHeight="1" x14ac:dyDescent="0.25">
      <c r="A286" s="69"/>
      <c r="B286" s="69"/>
      <c r="C286" s="160" t="s">
        <v>90</v>
      </c>
      <c r="D286" s="160"/>
      <c r="E286" s="160"/>
      <c r="F286" s="160"/>
      <c r="G286" s="160"/>
      <c r="H286" s="160"/>
      <c r="I286" s="160"/>
      <c r="J286" s="160"/>
      <c r="K286" s="160"/>
      <c r="L286" s="160"/>
      <c r="M286" s="160"/>
      <c r="N286" s="160"/>
      <c r="O286" s="160"/>
      <c r="P286" s="160"/>
      <c r="Q286" s="160"/>
      <c r="R286" s="160"/>
      <c r="S286" s="160"/>
      <c r="T286" s="160"/>
      <c r="U286" s="160"/>
      <c r="V286" s="160"/>
      <c r="W286" s="180"/>
      <c r="X286" s="222"/>
      <c r="Y286" s="24"/>
      <c r="Z286" s="94"/>
      <c r="AA286" s="212"/>
      <c r="AB286" s="212"/>
      <c r="AC286" s="212"/>
      <c r="AD286" s="212"/>
      <c r="AE286" s="212"/>
      <c r="AF286" s="212"/>
      <c r="AG286" s="212"/>
      <c r="AH286" s="212"/>
      <c r="AI286" s="212"/>
      <c r="AJ286" s="212"/>
      <c r="AK286" s="212"/>
      <c r="AL286" s="212"/>
      <c r="AM286" s="212"/>
      <c r="AN286" s="212"/>
      <c r="AO286" s="212"/>
      <c r="AP286" s="212"/>
      <c r="AQ286" s="212"/>
      <c r="AR286" s="212"/>
      <c r="AS286" s="212"/>
      <c r="AT286" s="212"/>
      <c r="AU286" s="212"/>
      <c r="AV286" s="212"/>
      <c r="AW286" s="212"/>
      <c r="AX286" s="212"/>
      <c r="AY286" s="212"/>
      <c r="AZ286" s="212"/>
      <c r="BA286" s="212"/>
      <c r="BB286" s="212"/>
      <c r="BC286" s="212"/>
      <c r="BD286" s="212"/>
      <c r="BE286" s="212"/>
      <c r="BF286" s="213"/>
      <c r="BG286" s="26"/>
      <c r="BH286" s="25"/>
    </row>
    <row r="287" spans="1:60" ht="14.25" customHeight="1" x14ac:dyDescent="0.25">
      <c r="A287" s="69"/>
      <c r="B287" s="69"/>
      <c r="C287" s="160"/>
      <c r="D287" s="160"/>
      <c r="E287" s="160"/>
      <c r="F287" s="160"/>
      <c r="G287" s="160"/>
      <c r="H287" s="160"/>
      <c r="I287" s="160"/>
      <c r="J287" s="160"/>
      <c r="K287" s="160"/>
      <c r="L287" s="160"/>
      <c r="M287" s="160"/>
      <c r="N287" s="160"/>
      <c r="O287" s="160"/>
      <c r="P287" s="160"/>
      <c r="Q287" s="160"/>
      <c r="R287" s="160"/>
      <c r="S287" s="160"/>
      <c r="T287" s="160"/>
      <c r="U287" s="160"/>
      <c r="V287" s="160"/>
      <c r="W287" s="180"/>
      <c r="X287" s="222"/>
      <c r="Y287" s="24"/>
      <c r="Z287" s="214"/>
      <c r="AA287" s="215"/>
      <c r="AB287" s="215"/>
      <c r="AC287" s="215"/>
      <c r="AD287" s="215"/>
      <c r="AE287" s="215"/>
      <c r="AF287" s="215"/>
      <c r="AG287" s="215"/>
      <c r="AH287" s="215"/>
      <c r="AI287" s="215"/>
      <c r="AJ287" s="215"/>
      <c r="AK287" s="215"/>
      <c r="AL287" s="215"/>
      <c r="AM287" s="215"/>
      <c r="AN287" s="215"/>
      <c r="AO287" s="215"/>
      <c r="AP287" s="215"/>
      <c r="AQ287" s="215"/>
      <c r="AR287" s="215"/>
      <c r="AS287" s="215"/>
      <c r="AT287" s="215"/>
      <c r="AU287" s="215"/>
      <c r="AV287" s="215"/>
      <c r="AW287" s="215"/>
      <c r="AX287" s="215"/>
      <c r="AY287" s="215"/>
      <c r="AZ287" s="215"/>
      <c r="BA287" s="215"/>
      <c r="BB287" s="215"/>
      <c r="BC287" s="215"/>
      <c r="BD287" s="215"/>
      <c r="BE287" s="215"/>
      <c r="BF287" s="216"/>
      <c r="BG287" s="26"/>
      <c r="BH287" s="25"/>
    </row>
    <row r="288" spans="1:60" ht="14.25" customHeight="1" x14ac:dyDescent="0.25">
      <c r="A288" s="69"/>
      <c r="B288" s="69"/>
      <c r="C288" s="29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30"/>
      <c r="AV288" s="3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69"/>
      <c r="BH288" s="69"/>
    </row>
    <row r="289" spans="1:60" ht="14.25" customHeight="1" x14ac:dyDescent="0.25">
      <c r="A289" s="69"/>
      <c r="B289" s="69"/>
      <c r="C289" s="210"/>
      <c r="D289" s="217"/>
      <c r="E289" s="217"/>
      <c r="F289" s="217"/>
      <c r="G289" s="217"/>
      <c r="H289" s="217"/>
      <c r="I289" s="217"/>
      <c r="J289" s="217"/>
      <c r="K289" s="217"/>
      <c r="L289" s="217"/>
      <c r="M289" s="217"/>
      <c r="N289" s="217"/>
      <c r="O289" s="217"/>
      <c r="P289" s="217"/>
      <c r="Q289" s="217"/>
      <c r="R289" s="217"/>
      <c r="S289" s="217"/>
      <c r="T289" s="217"/>
      <c r="U289" s="217"/>
      <c r="V289" s="217"/>
      <c r="W289" s="217"/>
      <c r="X289" s="217"/>
      <c r="Y289" s="217"/>
      <c r="Z289" s="217"/>
      <c r="AA289" s="217"/>
      <c r="AB289" s="217"/>
      <c r="AC289" s="217"/>
      <c r="AD289" s="217"/>
      <c r="AE289" s="217"/>
      <c r="AF289" s="217"/>
      <c r="AG289" s="217"/>
      <c r="AH289" s="217"/>
      <c r="AI289" s="217"/>
      <c r="AJ289" s="217"/>
      <c r="AK289" s="217"/>
      <c r="AL289" s="217"/>
      <c r="AM289" s="217"/>
      <c r="AN289" s="217"/>
      <c r="AO289" s="217"/>
      <c r="AP289" s="217"/>
      <c r="AQ289" s="217"/>
      <c r="AR289" s="217"/>
      <c r="AS289" s="217"/>
      <c r="AT289" s="217"/>
      <c r="AU289" s="217"/>
      <c r="AV289" s="217"/>
      <c r="AW289" s="217"/>
      <c r="AX289" s="217"/>
      <c r="AY289" s="217"/>
      <c r="AZ289" s="217"/>
      <c r="BA289" s="217"/>
      <c r="BB289" s="217"/>
      <c r="BC289" s="217"/>
      <c r="BD289" s="217"/>
      <c r="BE289" s="217"/>
      <c r="BF289" s="217"/>
      <c r="BG289" s="69"/>
      <c r="BH289" s="69"/>
    </row>
    <row r="290" spans="1:60" ht="14.25" customHeight="1" x14ac:dyDescent="0.25">
      <c r="A290" s="64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22"/>
      <c r="AP290" s="64"/>
      <c r="AQ290" s="64"/>
      <c r="AR290" s="64"/>
      <c r="AS290" s="64"/>
      <c r="AT290" s="64"/>
      <c r="AU290" s="64"/>
      <c r="AV290" s="64"/>
      <c r="AW290" s="67"/>
      <c r="AX290" s="12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</row>
    <row r="291" spans="1:60" ht="14.25" customHeight="1" x14ac:dyDescent="0.25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22"/>
      <c r="AP291" s="64"/>
      <c r="AQ291" s="64"/>
      <c r="AR291" s="64"/>
      <c r="AS291" s="64"/>
      <c r="AT291" s="64"/>
      <c r="AU291" s="64"/>
      <c r="AV291" s="64"/>
      <c r="AW291" s="67"/>
      <c r="AX291" s="12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</row>
    <row r="292" spans="1:60" ht="14.25" customHeight="1" x14ac:dyDescent="0.25">
      <c r="A292" s="64"/>
      <c r="B292" s="64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  <c r="AA292" s="69"/>
      <c r="AB292" s="69"/>
      <c r="AC292" s="69"/>
      <c r="AD292" s="69"/>
      <c r="AE292" s="69"/>
      <c r="AF292" s="69"/>
      <c r="AG292" s="69"/>
      <c r="AH292" s="69"/>
      <c r="AI292" s="69"/>
      <c r="AJ292" s="69"/>
      <c r="AK292" s="69"/>
      <c r="AL292" s="69"/>
      <c r="AM292" s="69"/>
      <c r="AN292" s="69"/>
      <c r="AO292" s="69"/>
      <c r="AP292" s="69"/>
      <c r="AQ292" s="69"/>
      <c r="AR292" s="69"/>
      <c r="AS292" s="69"/>
      <c r="AT292" s="69"/>
      <c r="AU292" s="69"/>
      <c r="AV292" s="69"/>
      <c r="AW292" s="69"/>
      <c r="AX292" s="69"/>
      <c r="AY292" s="69"/>
      <c r="AZ292" s="69"/>
      <c r="BA292" s="69"/>
      <c r="BB292" s="69"/>
      <c r="BC292" s="69"/>
      <c r="BD292" s="69"/>
      <c r="BE292" s="69"/>
      <c r="BF292" s="69"/>
      <c r="BG292" s="64"/>
      <c r="BH292" s="64"/>
    </row>
    <row r="293" spans="1:60" ht="14.25" customHeight="1" x14ac:dyDescent="0.25">
      <c r="A293" s="64"/>
      <c r="B293" s="64"/>
      <c r="C293" s="69"/>
      <c r="D293" s="69"/>
      <c r="E293" s="69"/>
      <c r="F293" s="69"/>
      <c r="G293" s="69"/>
      <c r="H293" s="69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69"/>
      <c r="AQ293" s="65"/>
      <c r="AR293" s="65"/>
      <c r="AS293" s="65"/>
      <c r="AT293" s="65"/>
      <c r="AU293" s="65"/>
      <c r="AV293" s="65"/>
      <c r="AW293" s="65"/>
      <c r="AX293" s="13"/>
      <c r="AY293" s="22"/>
      <c r="AZ293" s="22"/>
      <c r="BA293" s="22"/>
      <c r="BB293" s="22"/>
      <c r="BC293" s="22"/>
      <c r="BD293" s="22"/>
      <c r="BE293" s="22"/>
      <c r="BF293" s="22"/>
      <c r="BG293" s="64"/>
      <c r="BH293" s="64"/>
    </row>
    <row r="294" spans="1:60" ht="14.25" customHeight="1" x14ac:dyDescent="0.25">
      <c r="A294" s="64"/>
      <c r="B294" s="64"/>
      <c r="C294" s="160" t="s">
        <v>53</v>
      </c>
      <c r="D294" s="224"/>
      <c r="E294" s="224"/>
      <c r="F294" s="224"/>
      <c r="G294" s="224"/>
      <c r="H294" s="224"/>
      <c r="I294" s="218"/>
      <c r="J294" s="115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7"/>
      <c r="BG294" s="64"/>
      <c r="BH294" s="64"/>
    </row>
    <row r="295" spans="1:60" ht="14.25" customHeight="1" x14ac:dyDescent="0.25">
      <c r="A295" s="64"/>
      <c r="B295" s="64"/>
      <c r="C295" s="224"/>
      <c r="D295" s="224"/>
      <c r="E295" s="224"/>
      <c r="F295" s="224"/>
      <c r="G295" s="224"/>
      <c r="H295" s="224"/>
      <c r="I295" s="218"/>
      <c r="J295" s="118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  <c r="AA295" s="119"/>
      <c r="AB295" s="119"/>
      <c r="AC295" s="119"/>
      <c r="AD295" s="119"/>
      <c r="AE295" s="119"/>
      <c r="AF295" s="119"/>
      <c r="AG295" s="119"/>
      <c r="AH295" s="119"/>
      <c r="AI295" s="119"/>
      <c r="AJ295" s="119"/>
      <c r="AK295" s="119"/>
      <c r="AL295" s="119"/>
      <c r="AM295" s="119"/>
      <c r="AN295" s="119"/>
      <c r="AO295" s="119"/>
      <c r="AP295" s="119"/>
      <c r="AQ295" s="119"/>
      <c r="AR295" s="119"/>
      <c r="AS295" s="119"/>
      <c r="AT295" s="119"/>
      <c r="AU295" s="119"/>
      <c r="AV295" s="119"/>
      <c r="AW295" s="119"/>
      <c r="AX295" s="119"/>
      <c r="AY295" s="119"/>
      <c r="AZ295" s="119"/>
      <c r="BA295" s="119"/>
      <c r="BB295" s="119"/>
      <c r="BC295" s="119"/>
      <c r="BD295" s="119"/>
      <c r="BE295" s="119"/>
      <c r="BF295" s="120"/>
      <c r="BG295" s="64"/>
      <c r="BH295" s="64"/>
    </row>
    <row r="296" spans="1:60" ht="14.25" customHeight="1" x14ac:dyDescent="0.25">
      <c r="A296" s="64"/>
      <c r="B296" s="6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5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12"/>
      <c r="AF296" s="16"/>
      <c r="AG296" s="16"/>
      <c r="AH296" s="16"/>
      <c r="AI296" s="16"/>
      <c r="AJ296" s="16"/>
      <c r="AK296" s="16"/>
      <c r="AL296" s="16"/>
      <c r="AM296" s="69"/>
      <c r="AN296" s="69"/>
      <c r="AO296" s="69"/>
      <c r="AP296" s="69"/>
      <c r="AQ296" s="69"/>
      <c r="AR296" s="69"/>
      <c r="AS296" s="69"/>
      <c r="AT296" s="69"/>
      <c r="AU296" s="69"/>
      <c r="AV296" s="69"/>
      <c r="AW296" s="69"/>
      <c r="AX296" s="69"/>
      <c r="AY296" s="69"/>
      <c r="AZ296" s="69"/>
      <c r="BA296" s="69"/>
      <c r="BB296" s="69"/>
      <c r="BC296" s="69"/>
      <c r="BD296" s="69"/>
      <c r="BE296" s="69"/>
      <c r="BF296" s="69"/>
      <c r="BG296" s="64"/>
      <c r="BH296" s="64"/>
    </row>
    <row r="297" spans="1:60" ht="14.25" customHeight="1" x14ac:dyDescent="0.25">
      <c r="A297" s="64"/>
      <c r="B297" s="64"/>
      <c r="C297" s="160" t="s">
        <v>54</v>
      </c>
      <c r="D297" s="160"/>
      <c r="E297" s="160"/>
      <c r="F297" s="160"/>
      <c r="G297" s="160"/>
      <c r="H297" s="160"/>
      <c r="I297" s="160"/>
      <c r="J297" s="160"/>
      <c r="K297" s="160"/>
      <c r="L297" s="160"/>
      <c r="M297" s="160"/>
      <c r="N297" s="180"/>
      <c r="O297" s="22"/>
      <c r="P297" s="24"/>
      <c r="Q297" s="94"/>
      <c r="R297" s="212"/>
      <c r="S297" s="212"/>
      <c r="T297" s="212"/>
      <c r="U297" s="212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12"/>
      <c r="AF297" s="212"/>
      <c r="AG297" s="212"/>
      <c r="AH297" s="212"/>
      <c r="AI297" s="212"/>
      <c r="AJ297" s="212"/>
      <c r="AK297" s="212"/>
      <c r="AL297" s="212"/>
      <c r="AM297" s="212"/>
      <c r="AN297" s="212"/>
      <c r="AO297" s="212"/>
      <c r="AP297" s="212"/>
      <c r="AQ297" s="212"/>
      <c r="AR297" s="212"/>
      <c r="AS297" s="212"/>
      <c r="AT297" s="212"/>
      <c r="AU297" s="212"/>
      <c r="AV297" s="212"/>
      <c r="AW297" s="212"/>
      <c r="AX297" s="212"/>
      <c r="AY297" s="212"/>
      <c r="AZ297" s="212"/>
      <c r="BA297" s="212"/>
      <c r="BB297" s="212"/>
      <c r="BC297" s="212"/>
      <c r="BD297" s="212"/>
      <c r="BE297" s="212"/>
      <c r="BF297" s="213"/>
      <c r="BG297" s="26"/>
      <c r="BH297" s="25"/>
    </row>
    <row r="298" spans="1:60" ht="14.25" customHeight="1" x14ac:dyDescent="0.25">
      <c r="A298" s="64"/>
      <c r="B298" s="64"/>
      <c r="C298" s="160"/>
      <c r="D298" s="160"/>
      <c r="E298" s="160"/>
      <c r="F298" s="160"/>
      <c r="G298" s="160"/>
      <c r="H298" s="160"/>
      <c r="I298" s="160"/>
      <c r="J298" s="160"/>
      <c r="K298" s="160"/>
      <c r="L298" s="160"/>
      <c r="M298" s="160"/>
      <c r="N298" s="180"/>
      <c r="O298" s="22"/>
      <c r="P298" s="24"/>
      <c r="Q298" s="214"/>
      <c r="R298" s="215"/>
      <c r="S298" s="215"/>
      <c r="T298" s="215"/>
      <c r="U298" s="215"/>
      <c r="V298" s="215"/>
      <c r="W298" s="215"/>
      <c r="X298" s="215"/>
      <c r="Y298" s="215"/>
      <c r="Z298" s="215"/>
      <c r="AA298" s="215"/>
      <c r="AB298" s="215"/>
      <c r="AC298" s="215"/>
      <c r="AD298" s="215"/>
      <c r="AE298" s="215"/>
      <c r="AF298" s="215"/>
      <c r="AG298" s="215"/>
      <c r="AH298" s="215"/>
      <c r="AI298" s="215"/>
      <c r="AJ298" s="215"/>
      <c r="AK298" s="215"/>
      <c r="AL298" s="215"/>
      <c r="AM298" s="215"/>
      <c r="AN298" s="215"/>
      <c r="AO298" s="215"/>
      <c r="AP298" s="215"/>
      <c r="AQ298" s="215"/>
      <c r="AR298" s="215"/>
      <c r="AS298" s="215"/>
      <c r="AT298" s="215"/>
      <c r="AU298" s="215"/>
      <c r="AV298" s="215"/>
      <c r="AW298" s="215"/>
      <c r="AX298" s="215"/>
      <c r="AY298" s="215"/>
      <c r="AZ298" s="215"/>
      <c r="BA298" s="215"/>
      <c r="BB298" s="215"/>
      <c r="BC298" s="215"/>
      <c r="BD298" s="215"/>
      <c r="BE298" s="215"/>
      <c r="BF298" s="216"/>
      <c r="BG298" s="26"/>
      <c r="BH298" s="25"/>
    </row>
    <row r="299" spans="1:60" ht="14.25" customHeight="1" x14ac:dyDescent="0.25">
      <c r="A299" s="64"/>
      <c r="B299" s="64"/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69"/>
      <c r="R299" s="69"/>
      <c r="S299" s="69"/>
      <c r="T299" s="69"/>
      <c r="U299" s="69"/>
      <c r="V299" s="69"/>
      <c r="W299" s="69"/>
      <c r="X299" s="69"/>
      <c r="Y299" s="69"/>
      <c r="Z299" s="69"/>
      <c r="AA299" s="69"/>
      <c r="AB299" s="69"/>
      <c r="AC299" s="69"/>
      <c r="AD299" s="69"/>
      <c r="AE299" s="69"/>
      <c r="AF299" s="69"/>
      <c r="AG299" s="69"/>
      <c r="AH299" s="69"/>
      <c r="AI299" s="69"/>
      <c r="AJ299" s="69"/>
      <c r="AK299" s="69"/>
      <c r="AL299" s="69"/>
      <c r="AM299" s="69"/>
      <c r="AN299" s="69"/>
      <c r="AO299" s="69"/>
      <c r="AP299" s="16"/>
      <c r="AQ299" s="16"/>
      <c r="AR299" s="16"/>
      <c r="AS299" s="16"/>
      <c r="AT299" s="69"/>
      <c r="AU299" s="69"/>
      <c r="AV299" s="69"/>
      <c r="AW299" s="69"/>
      <c r="AX299" s="69"/>
      <c r="AY299" s="69"/>
      <c r="AZ299" s="69"/>
      <c r="BA299" s="69"/>
      <c r="BB299" s="69"/>
      <c r="BC299" s="69"/>
      <c r="BD299" s="69"/>
      <c r="BE299" s="69"/>
      <c r="BF299" s="69"/>
      <c r="BG299" s="64"/>
      <c r="BH299" s="64"/>
    </row>
    <row r="300" spans="1:60" ht="14.25" customHeight="1" x14ac:dyDescent="0.25">
      <c r="A300" s="64"/>
      <c r="B300" s="64"/>
      <c r="C300" s="160" t="s">
        <v>55</v>
      </c>
      <c r="D300" s="160"/>
      <c r="E300" s="160"/>
      <c r="F300" s="160"/>
      <c r="G300" s="160"/>
      <c r="H300" s="180"/>
      <c r="I300" s="200"/>
      <c r="J300" s="200"/>
      <c r="K300" s="200"/>
      <c r="L300" s="200"/>
      <c r="M300" s="200"/>
      <c r="N300" s="200"/>
      <c r="O300" s="200"/>
      <c r="P300" s="218"/>
      <c r="Q300" s="94"/>
      <c r="R300" s="212"/>
      <c r="S300" s="212"/>
      <c r="T300" s="212"/>
      <c r="U300" s="212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12"/>
      <c r="AF300" s="212"/>
      <c r="AG300" s="212"/>
      <c r="AH300" s="212"/>
      <c r="AI300" s="212"/>
      <c r="AJ300" s="212"/>
      <c r="AK300" s="212"/>
      <c r="AL300" s="212"/>
      <c r="AM300" s="212"/>
      <c r="AN300" s="212"/>
      <c r="AO300" s="212"/>
      <c r="AP300" s="212"/>
      <c r="AQ300" s="212"/>
      <c r="AR300" s="212"/>
      <c r="AS300" s="212"/>
      <c r="AT300" s="212"/>
      <c r="AU300" s="212"/>
      <c r="AV300" s="212"/>
      <c r="AW300" s="212"/>
      <c r="AX300" s="212"/>
      <c r="AY300" s="212"/>
      <c r="AZ300" s="212"/>
      <c r="BA300" s="212"/>
      <c r="BB300" s="212"/>
      <c r="BC300" s="212"/>
      <c r="BD300" s="212"/>
      <c r="BE300" s="212"/>
      <c r="BF300" s="213"/>
      <c r="BG300" s="25"/>
      <c r="BH300" s="25"/>
    </row>
    <row r="301" spans="1:60" ht="14.25" customHeight="1" x14ac:dyDescent="0.25">
      <c r="A301" s="64"/>
      <c r="B301" s="64"/>
      <c r="C301" s="160"/>
      <c r="D301" s="160"/>
      <c r="E301" s="160"/>
      <c r="F301" s="160"/>
      <c r="G301" s="160"/>
      <c r="H301" s="180"/>
      <c r="I301" s="200"/>
      <c r="J301" s="200"/>
      <c r="K301" s="200"/>
      <c r="L301" s="200"/>
      <c r="M301" s="200"/>
      <c r="N301" s="200"/>
      <c r="O301" s="200"/>
      <c r="P301" s="218"/>
      <c r="Q301" s="214"/>
      <c r="R301" s="215"/>
      <c r="S301" s="215"/>
      <c r="T301" s="215"/>
      <c r="U301" s="215"/>
      <c r="V301" s="215"/>
      <c r="W301" s="215"/>
      <c r="X301" s="215"/>
      <c r="Y301" s="215"/>
      <c r="Z301" s="215"/>
      <c r="AA301" s="215"/>
      <c r="AB301" s="215"/>
      <c r="AC301" s="215"/>
      <c r="AD301" s="215"/>
      <c r="AE301" s="215"/>
      <c r="AF301" s="215"/>
      <c r="AG301" s="215"/>
      <c r="AH301" s="215"/>
      <c r="AI301" s="215"/>
      <c r="AJ301" s="215"/>
      <c r="AK301" s="215"/>
      <c r="AL301" s="215"/>
      <c r="AM301" s="215"/>
      <c r="AN301" s="215"/>
      <c r="AO301" s="215"/>
      <c r="AP301" s="215"/>
      <c r="AQ301" s="215"/>
      <c r="AR301" s="215"/>
      <c r="AS301" s="215"/>
      <c r="AT301" s="215"/>
      <c r="AU301" s="215"/>
      <c r="AV301" s="215"/>
      <c r="AW301" s="215"/>
      <c r="AX301" s="215"/>
      <c r="AY301" s="215"/>
      <c r="AZ301" s="215"/>
      <c r="BA301" s="215"/>
      <c r="BB301" s="215"/>
      <c r="BC301" s="215"/>
      <c r="BD301" s="215"/>
      <c r="BE301" s="215"/>
      <c r="BF301" s="216"/>
      <c r="BG301" s="25"/>
      <c r="BH301" s="25"/>
    </row>
    <row r="302" spans="1:60" ht="14.25" customHeight="1" x14ac:dyDescent="0.25">
      <c r="A302" s="64"/>
      <c r="B302" s="64"/>
      <c r="C302" s="210"/>
      <c r="D302" s="217"/>
      <c r="E302" s="217"/>
      <c r="F302" s="217"/>
      <c r="G302" s="217"/>
      <c r="H302" s="217"/>
      <c r="I302" s="217"/>
      <c r="J302" s="217"/>
      <c r="K302" s="217"/>
      <c r="L302" s="217"/>
      <c r="M302" s="217"/>
      <c r="N302" s="217"/>
      <c r="O302" s="217"/>
      <c r="P302" s="217"/>
      <c r="Q302" s="217"/>
      <c r="R302" s="217"/>
      <c r="S302" s="217"/>
      <c r="T302" s="217"/>
      <c r="U302" s="217"/>
      <c r="V302" s="217"/>
      <c r="W302" s="217"/>
      <c r="X302" s="217"/>
      <c r="Y302" s="217"/>
      <c r="Z302" s="217"/>
      <c r="AA302" s="217"/>
      <c r="AB302" s="217"/>
      <c r="AC302" s="217"/>
      <c r="AD302" s="217"/>
      <c r="AE302" s="217"/>
      <c r="AF302" s="217"/>
      <c r="AG302" s="217"/>
      <c r="AH302" s="217"/>
      <c r="AI302" s="217"/>
      <c r="AJ302" s="217"/>
      <c r="AK302" s="217"/>
      <c r="AL302" s="217"/>
      <c r="AM302" s="217"/>
      <c r="AN302" s="217"/>
      <c r="AO302" s="217"/>
      <c r="AP302" s="217"/>
      <c r="AQ302" s="217"/>
      <c r="AR302" s="217"/>
      <c r="AS302" s="217"/>
      <c r="AT302" s="217"/>
      <c r="AU302" s="217"/>
      <c r="AV302" s="217"/>
      <c r="AW302" s="217"/>
      <c r="AX302" s="217"/>
      <c r="AY302" s="217"/>
      <c r="AZ302" s="217"/>
      <c r="BA302" s="217"/>
      <c r="BB302" s="217"/>
      <c r="BC302" s="217"/>
      <c r="BD302" s="217"/>
      <c r="BE302" s="217"/>
      <c r="BF302" s="217"/>
      <c r="BG302" s="64"/>
      <c r="BH302" s="64"/>
    </row>
    <row r="303" spans="1:60" ht="14.25" customHeight="1" x14ac:dyDescent="0.25">
      <c r="A303" s="64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</row>
    <row r="304" spans="1:60" ht="14.25" customHeight="1" x14ac:dyDescent="0.25">
      <c r="A304" s="64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</row>
    <row r="305" spans="1:60" ht="14.25" customHeight="1" x14ac:dyDescent="0.25">
      <c r="A305" s="64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</row>
    <row r="306" spans="1:60" ht="14.25" customHeight="1" x14ac:dyDescent="0.25">
      <c r="A306" s="64"/>
      <c r="B306" s="64"/>
      <c r="C306" s="160" t="s">
        <v>56</v>
      </c>
      <c r="D306" s="160"/>
      <c r="E306" s="160"/>
      <c r="F306" s="160"/>
      <c r="G306" s="160"/>
      <c r="H306" s="175"/>
      <c r="I306" s="169"/>
      <c r="J306" s="170"/>
      <c r="K306" s="170"/>
      <c r="L306" s="170"/>
      <c r="M306" s="170"/>
      <c r="N306" s="170"/>
      <c r="O306" s="170"/>
      <c r="P306" s="170"/>
      <c r="Q306" s="170"/>
      <c r="R306" s="170"/>
      <c r="S306" s="170"/>
      <c r="T306" s="170"/>
      <c r="U306" s="170"/>
      <c r="V306" s="170"/>
      <c r="W306" s="170"/>
      <c r="X306" s="170"/>
      <c r="Y306" s="170"/>
      <c r="Z306" s="170"/>
      <c r="AA306" s="170"/>
      <c r="AB306" s="170"/>
      <c r="AC306" s="171"/>
      <c r="AD306" s="64"/>
      <c r="AE306" s="160" t="s">
        <v>57</v>
      </c>
      <c r="AF306" s="200"/>
      <c r="AG306" s="200"/>
      <c r="AH306" s="200"/>
      <c r="AI306" s="200"/>
      <c r="AJ306" s="200"/>
      <c r="AK306" s="218"/>
      <c r="AL306" s="94"/>
      <c r="AM306" s="95"/>
      <c r="AN306" s="95"/>
      <c r="AO306" s="95"/>
      <c r="AP306" s="96"/>
      <c r="AQ306" s="229" t="s">
        <v>58</v>
      </c>
      <c r="AR306" s="200"/>
      <c r="AS306" s="200"/>
      <c r="AT306" s="200"/>
      <c r="AU306" s="200"/>
      <c r="AV306" s="218"/>
      <c r="AW306" s="169"/>
      <c r="AX306" s="170"/>
      <c r="AY306" s="170"/>
      <c r="AZ306" s="170"/>
      <c r="BA306" s="170"/>
      <c r="BB306" s="170"/>
      <c r="BC306" s="170"/>
      <c r="BD306" s="170"/>
      <c r="BE306" s="170"/>
      <c r="BF306" s="171"/>
      <c r="BG306" s="64"/>
      <c r="BH306" s="64"/>
    </row>
    <row r="307" spans="1:60" ht="14.25" customHeight="1" x14ac:dyDescent="0.25">
      <c r="A307" s="64"/>
      <c r="B307" s="64"/>
      <c r="C307" s="160"/>
      <c r="D307" s="160"/>
      <c r="E307" s="160"/>
      <c r="F307" s="160"/>
      <c r="G307" s="160"/>
      <c r="H307" s="175"/>
      <c r="I307" s="172"/>
      <c r="J307" s="173"/>
      <c r="K307" s="173"/>
      <c r="L307" s="173"/>
      <c r="M307" s="173"/>
      <c r="N307" s="173"/>
      <c r="O307" s="173"/>
      <c r="P307" s="173"/>
      <c r="Q307" s="173"/>
      <c r="R307" s="173"/>
      <c r="S307" s="173"/>
      <c r="T307" s="173"/>
      <c r="U307" s="173"/>
      <c r="V307" s="173"/>
      <c r="W307" s="173"/>
      <c r="X307" s="173"/>
      <c r="Y307" s="173"/>
      <c r="Z307" s="173"/>
      <c r="AA307" s="173"/>
      <c r="AB307" s="173"/>
      <c r="AC307" s="174"/>
      <c r="AD307" s="64"/>
      <c r="AE307" s="200"/>
      <c r="AF307" s="200"/>
      <c r="AG307" s="200"/>
      <c r="AH307" s="200"/>
      <c r="AI307" s="200"/>
      <c r="AJ307" s="200"/>
      <c r="AK307" s="218"/>
      <c r="AL307" s="97"/>
      <c r="AM307" s="98"/>
      <c r="AN307" s="98"/>
      <c r="AO307" s="98"/>
      <c r="AP307" s="99"/>
      <c r="AQ307" s="233"/>
      <c r="AR307" s="200"/>
      <c r="AS307" s="200"/>
      <c r="AT307" s="200"/>
      <c r="AU307" s="200"/>
      <c r="AV307" s="218"/>
      <c r="AW307" s="172"/>
      <c r="AX307" s="173"/>
      <c r="AY307" s="173"/>
      <c r="AZ307" s="173"/>
      <c r="BA307" s="173"/>
      <c r="BB307" s="173"/>
      <c r="BC307" s="173"/>
      <c r="BD307" s="173"/>
      <c r="BE307" s="173"/>
      <c r="BF307" s="174"/>
      <c r="BG307" s="64"/>
      <c r="BH307" s="64"/>
    </row>
    <row r="308" spans="1:60" ht="14.25" customHeight="1" x14ac:dyDescent="0.25">
      <c r="A308" s="64"/>
      <c r="B308" s="64"/>
      <c r="C308" s="62"/>
      <c r="D308" s="62"/>
      <c r="E308" s="62"/>
      <c r="F308" s="62"/>
      <c r="G308" s="62"/>
      <c r="H308" s="62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2"/>
      <c r="AG308" s="62"/>
      <c r="AH308" s="62"/>
      <c r="AI308" s="62"/>
      <c r="AJ308" s="62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</row>
    <row r="309" spans="1:60" ht="14.25" customHeight="1" x14ac:dyDescent="0.25">
      <c r="A309" s="64"/>
      <c r="B309" s="64"/>
      <c r="C309" s="160" t="s">
        <v>59</v>
      </c>
      <c r="D309" s="160"/>
      <c r="E309" s="160"/>
      <c r="F309" s="160"/>
      <c r="G309" s="160"/>
      <c r="H309" s="64"/>
      <c r="I309" s="169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1"/>
      <c r="AD309" s="64"/>
      <c r="AE309" s="160" t="s">
        <v>60</v>
      </c>
      <c r="AF309" s="200"/>
      <c r="AG309" s="200"/>
      <c r="AH309" s="200"/>
      <c r="AI309" s="200"/>
      <c r="AJ309" s="200"/>
      <c r="AK309" s="218"/>
      <c r="AL309" s="169"/>
      <c r="AM309" s="170"/>
      <c r="AN309" s="170"/>
      <c r="AO309" s="170"/>
      <c r="AP309" s="170"/>
      <c r="AQ309" s="170"/>
      <c r="AR309" s="170"/>
      <c r="AS309" s="170"/>
      <c r="AT309" s="170"/>
      <c r="AU309" s="170"/>
      <c r="AV309" s="170"/>
      <c r="AW309" s="170"/>
      <c r="AX309" s="170"/>
      <c r="AY309" s="170"/>
      <c r="AZ309" s="170"/>
      <c r="BA309" s="170"/>
      <c r="BB309" s="170"/>
      <c r="BC309" s="170"/>
      <c r="BD309" s="170"/>
      <c r="BE309" s="170"/>
      <c r="BF309" s="171"/>
      <c r="BG309" s="64"/>
      <c r="BH309" s="64"/>
    </row>
    <row r="310" spans="1:60" ht="14.25" customHeight="1" x14ac:dyDescent="0.25">
      <c r="A310" s="64"/>
      <c r="B310" s="64"/>
      <c r="C310" s="160"/>
      <c r="D310" s="160"/>
      <c r="E310" s="160"/>
      <c r="F310" s="160"/>
      <c r="G310" s="160"/>
      <c r="H310" s="64"/>
      <c r="I310" s="172"/>
      <c r="J310" s="173"/>
      <c r="K310" s="173"/>
      <c r="L310" s="173"/>
      <c r="M310" s="173"/>
      <c r="N310" s="173"/>
      <c r="O310" s="173"/>
      <c r="P310" s="173"/>
      <c r="Q310" s="173"/>
      <c r="R310" s="173"/>
      <c r="S310" s="173"/>
      <c r="T310" s="173"/>
      <c r="U310" s="173"/>
      <c r="V310" s="173"/>
      <c r="W310" s="173"/>
      <c r="X310" s="173"/>
      <c r="Y310" s="173"/>
      <c r="Z310" s="173"/>
      <c r="AA310" s="173"/>
      <c r="AB310" s="173"/>
      <c r="AC310" s="174"/>
      <c r="AD310" s="64"/>
      <c r="AE310" s="200"/>
      <c r="AF310" s="200"/>
      <c r="AG310" s="200"/>
      <c r="AH310" s="200"/>
      <c r="AI310" s="200"/>
      <c r="AJ310" s="200"/>
      <c r="AK310" s="218"/>
      <c r="AL310" s="172"/>
      <c r="AM310" s="173"/>
      <c r="AN310" s="173"/>
      <c r="AO310" s="173"/>
      <c r="AP310" s="173"/>
      <c r="AQ310" s="173"/>
      <c r="AR310" s="173"/>
      <c r="AS310" s="173"/>
      <c r="AT310" s="173"/>
      <c r="AU310" s="173"/>
      <c r="AV310" s="173"/>
      <c r="AW310" s="173"/>
      <c r="AX310" s="173"/>
      <c r="AY310" s="173"/>
      <c r="AZ310" s="173"/>
      <c r="BA310" s="173"/>
      <c r="BB310" s="173"/>
      <c r="BC310" s="173"/>
      <c r="BD310" s="173"/>
      <c r="BE310" s="173"/>
      <c r="BF310" s="174"/>
      <c r="BG310" s="64"/>
      <c r="BH310" s="64"/>
    </row>
    <row r="311" spans="1:60" ht="14.25" customHeight="1" x14ac:dyDescent="0.25">
      <c r="A311" s="64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2"/>
      <c r="AG311" s="62"/>
      <c r="AH311" s="62"/>
      <c r="AI311" s="62"/>
      <c r="AJ311" s="62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</row>
    <row r="312" spans="1:60" ht="14.25" customHeight="1" x14ac:dyDescent="0.25">
      <c r="A312" s="64"/>
      <c r="B312" s="64"/>
      <c r="C312" s="160" t="s">
        <v>61</v>
      </c>
      <c r="D312" s="160"/>
      <c r="E312" s="160"/>
      <c r="F312" s="160"/>
      <c r="G312" s="160"/>
      <c r="H312" s="64"/>
      <c r="I312" s="169"/>
      <c r="J312" s="170"/>
      <c r="K312" s="170"/>
      <c r="L312" s="170"/>
      <c r="M312" s="170"/>
      <c r="N312" s="170"/>
      <c r="O312" s="170"/>
      <c r="P312" s="170"/>
      <c r="Q312" s="170"/>
      <c r="R312" s="170"/>
      <c r="S312" s="170"/>
      <c r="T312" s="170"/>
      <c r="U312" s="170"/>
      <c r="V312" s="170"/>
      <c r="W312" s="170"/>
      <c r="X312" s="170"/>
      <c r="Y312" s="170"/>
      <c r="Z312" s="170"/>
      <c r="AA312" s="170"/>
      <c r="AB312" s="170"/>
      <c r="AC312" s="171"/>
      <c r="AD312" s="64"/>
      <c r="AE312" s="239" t="s">
        <v>62</v>
      </c>
      <c r="AF312" s="239"/>
      <c r="AG312" s="239"/>
      <c r="AH312" s="239"/>
      <c r="AI312" s="239"/>
      <c r="AJ312" s="239"/>
      <c r="AK312" s="239"/>
      <c r="AL312" s="239"/>
      <c r="AM312" s="239"/>
      <c r="AN312" s="239"/>
      <c r="AO312" s="239"/>
      <c r="AP312" s="239"/>
      <c r="AQ312" s="239"/>
      <c r="AR312" s="239"/>
      <c r="AS312" s="239"/>
      <c r="AT312" s="94" t="s">
        <v>46</v>
      </c>
      <c r="AU312" s="95"/>
      <c r="AV312" s="95"/>
      <c r="AW312" s="96"/>
      <c r="AX312" s="36"/>
      <c r="AY312" s="162" t="s">
        <v>260</v>
      </c>
      <c r="AZ312" s="162"/>
      <c r="BA312" s="240"/>
      <c r="BB312" s="115"/>
      <c r="BC312" s="116"/>
      <c r="BD312" s="116"/>
      <c r="BE312" s="116"/>
      <c r="BF312" s="117"/>
      <c r="BG312" s="64"/>
      <c r="BH312" s="64"/>
    </row>
    <row r="313" spans="1:60" ht="14.25" customHeight="1" x14ac:dyDescent="0.25">
      <c r="A313" s="64"/>
      <c r="B313" s="64"/>
      <c r="C313" s="160"/>
      <c r="D313" s="160"/>
      <c r="E313" s="160"/>
      <c r="F313" s="160"/>
      <c r="G313" s="160"/>
      <c r="H313" s="64"/>
      <c r="I313" s="172"/>
      <c r="J313" s="173"/>
      <c r="K313" s="173"/>
      <c r="L313" s="173"/>
      <c r="M313" s="173"/>
      <c r="N313" s="173"/>
      <c r="O313" s="173"/>
      <c r="P313" s="173"/>
      <c r="Q313" s="173"/>
      <c r="R313" s="173"/>
      <c r="S313" s="173"/>
      <c r="T313" s="173"/>
      <c r="U313" s="173"/>
      <c r="V313" s="173"/>
      <c r="W313" s="173"/>
      <c r="X313" s="173"/>
      <c r="Y313" s="173"/>
      <c r="Z313" s="173"/>
      <c r="AA313" s="173"/>
      <c r="AB313" s="173"/>
      <c r="AC313" s="174"/>
      <c r="AD313" s="64"/>
      <c r="AE313" s="239"/>
      <c r="AF313" s="239"/>
      <c r="AG313" s="239"/>
      <c r="AH313" s="239"/>
      <c r="AI313" s="239"/>
      <c r="AJ313" s="239"/>
      <c r="AK313" s="239"/>
      <c r="AL313" s="239"/>
      <c r="AM313" s="239"/>
      <c r="AN313" s="239"/>
      <c r="AO313" s="239"/>
      <c r="AP313" s="239"/>
      <c r="AQ313" s="239"/>
      <c r="AR313" s="239"/>
      <c r="AS313" s="239"/>
      <c r="AT313" s="97"/>
      <c r="AU313" s="98"/>
      <c r="AV313" s="98"/>
      <c r="AW313" s="99"/>
      <c r="AX313" s="36"/>
      <c r="AY313" s="162"/>
      <c r="AZ313" s="162"/>
      <c r="BA313" s="240"/>
      <c r="BB313" s="118"/>
      <c r="BC313" s="119"/>
      <c r="BD313" s="119"/>
      <c r="BE313" s="119"/>
      <c r="BF313" s="120"/>
      <c r="BG313" s="64"/>
      <c r="BH313" s="64"/>
    </row>
    <row r="314" spans="1:60" ht="14.25" customHeight="1" x14ac:dyDescent="0.25">
      <c r="A314" s="64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</row>
    <row r="315" spans="1:60" ht="14.25" customHeight="1" x14ac:dyDescent="0.25">
      <c r="A315" s="64"/>
      <c r="B315" s="64"/>
      <c r="C315" s="143" t="s">
        <v>272</v>
      </c>
      <c r="D315" s="143"/>
      <c r="E315" s="143"/>
      <c r="F315" s="143"/>
      <c r="G315" s="143"/>
      <c r="H315" s="64"/>
      <c r="I315" s="100" t="s">
        <v>31</v>
      </c>
      <c r="J315" s="101"/>
      <c r="K315" s="101"/>
      <c r="L315" s="101"/>
      <c r="M315" s="101"/>
      <c r="N315" s="101"/>
      <c r="O315" s="101"/>
      <c r="P315" s="101"/>
      <c r="Q315" s="241"/>
      <c r="R315" s="241"/>
      <c r="S315" s="241"/>
      <c r="T315" s="241"/>
      <c r="U315" s="241"/>
      <c r="V315" s="242"/>
      <c r="W315" s="146" t="s">
        <v>273</v>
      </c>
      <c r="X315" s="146"/>
      <c r="Y315" s="146"/>
      <c r="Z315" s="218"/>
      <c r="AA315" s="115"/>
      <c r="AB315" s="212"/>
      <c r="AC315" s="212"/>
      <c r="AD315" s="213"/>
      <c r="AE315" s="146" t="s">
        <v>274</v>
      </c>
      <c r="AF315" s="200"/>
      <c r="AG315" s="200"/>
      <c r="AH315" s="200"/>
      <c r="AI315" s="218"/>
      <c r="AJ315" s="115"/>
      <c r="AK315" s="133"/>
      <c r="AL315" s="133"/>
      <c r="AM315" s="133"/>
      <c r="AN315" s="133"/>
      <c r="AO315" s="133"/>
      <c r="AP315" s="133"/>
      <c r="AQ315" s="134"/>
      <c r="AR315" s="19"/>
      <c r="AS315" s="221" t="s">
        <v>275</v>
      </c>
      <c r="AT315" s="221"/>
      <c r="AU315" s="221"/>
      <c r="AV315" s="221"/>
      <c r="AW315" s="221"/>
      <c r="AX315" s="167"/>
      <c r="AY315" s="94"/>
      <c r="AZ315" s="95"/>
      <c r="BA315" s="95"/>
      <c r="BB315" s="95"/>
      <c r="BC315" s="95"/>
      <c r="BD315" s="95"/>
      <c r="BE315" s="95"/>
      <c r="BF315" s="96"/>
      <c r="BG315" s="64"/>
      <c r="BH315" s="64"/>
    </row>
    <row r="316" spans="1:60" ht="14.25" customHeight="1" x14ac:dyDescent="0.25">
      <c r="A316" s="64"/>
      <c r="B316" s="64"/>
      <c r="C316" s="143"/>
      <c r="D316" s="143"/>
      <c r="E316" s="143"/>
      <c r="F316" s="143"/>
      <c r="G316" s="143"/>
      <c r="H316" s="64"/>
      <c r="I316" s="103"/>
      <c r="J316" s="104"/>
      <c r="K316" s="104"/>
      <c r="L316" s="104"/>
      <c r="M316" s="104"/>
      <c r="N316" s="104"/>
      <c r="O316" s="104"/>
      <c r="P316" s="104"/>
      <c r="Q316" s="243"/>
      <c r="R316" s="243"/>
      <c r="S316" s="243"/>
      <c r="T316" s="243"/>
      <c r="U316" s="243"/>
      <c r="V316" s="244"/>
      <c r="W316" s="146"/>
      <c r="X316" s="146"/>
      <c r="Y316" s="146"/>
      <c r="Z316" s="218"/>
      <c r="AA316" s="214"/>
      <c r="AB316" s="215"/>
      <c r="AC316" s="215"/>
      <c r="AD316" s="216"/>
      <c r="AE316" s="200"/>
      <c r="AF316" s="200"/>
      <c r="AG316" s="200"/>
      <c r="AH316" s="200"/>
      <c r="AI316" s="218"/>
      <c r="AJ316" s="135"/>
      <c r="AK316" s="136"/>
      <c r="AL316" s="136"/>
      <c r="AM316" s="136"/>
      <c r="AN316" s="136"/>
      <c r="AO316" s="136"/>
      <c r="AP316" s="136"/>
      <c r="AQ316" s="137"/>
      <c r="AR316" s="19"/>
      <c r="AS316" s="221"/>
      <c r="AT316" s="221"/>
      <c r="AU316" s="221"/>
      <c r="AV316" s="221"/>
      <c r="AW316" s="221"/>
      <c r="AX316" s="167"/>
      <c r="AY316" s="97"/>
      <c r="AZ316" s="98"/>
      <c r="BA316" s="98"/>
      <c r="BB316" s="98"/>
      <c r="BC316" s="98"/>
      <c r="BD316" s="98"/>
      <c r="BE316" s="98"/>
      <c r="BF316" s="99"/>
      <c r="BG316" s="64"/>
      <c r="BH316" s="64"/>
    </row>
    <row r="317" spans="1:60" ht="14.25" customHeight="1" x14ac:dyDescent="0.25">
      <c r="A317" s="64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</row>
    <row r="318" spans="1:60" ht="14.25" customHeight="1" x14ac:dyDescent="0.25">
      <c r="A318" s="64"/>
      <c r="B318" s="64"/>
      <c r="C318" s="143" t="s">
        <v>276</v>
      </c>
      <c r="D318" s="143"/>
      <c r="E318" s="143"/>
      <c r="F318" s="143"/>
      <c r="G318" s="143"/>
      <c r="H318" s="218"/>
      <c r="I318" s="115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7"/>
      <c r="AP318" s="145" t="s">
        <v>277</v>
      </c>
      <c r="AQ318" s="200"/>
      <c r="AR318" s="200"/>
      <c r="AS318" s="200"/>
      <c r="AT318" s="200"/>
      <c r="AU318" s="200"/>
      <c r="AV318" s="200"/>
      <c r="AW318" s="200"/>
      <c r="AX318" s="218"/>
      <c r="AY318" s="115"/>
      <c r="AZ318" s="116"/>
      <c r="BA318" s="116"/>
      <c r="BB318" s="116"/>
      <c r="BC318" s="116"/>
      <c r="BD318" s="116"/>
      <c r="BE318" s="116"/>
      <c r="BF318" s="117"/>
      <c r="BG318" s="64"/>
      <c r="BH318" s="64"/>
    </row>
    <row r="319" spans="1:60" ht="14.25" customHeight="1" x14ac:dyDescent="0.25">
      <c r="A319" s="64"/>
      <c r="B319" s="64"/>
      <c r="C319" s="143"/>
      <c r="D319" s="143"/>
      <c r="E319" s="143"/>
      <c r="F319" s="143"/>
      <c r="G319" s="143"/>
      <c r="H319" s="218"/>
      <c r="I319" s="118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  <c r="AA319" s="119"/>
      <c r="AB319" s="119"/>
      <c r="AC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20"/>
      <c r="AP319" s="233"/>
      <c r="AQ319" s="200"/>
      <c r="AR319" s="200"/>
      <c r="AS319" s="200"/>
      <c r="AT319" s="200"/>
      <c r="AU319" s="200"/>
      <c r="AV319" s="200"/>
      <c r="AW319" s="200"/>
      <c r="AX319" s="218"/>
      <c r="AY319" s="118"/>
      <c r="AZ319" s="119"/>
      <c r="BA319" s="119"/>
      <c r="BB319" s="119"/>
      <c r="BC319" s="119"/>
      <c r="BD319" s="119"/>
      <c r="BE319" s="119"/>
      <c r="BF319" s="120"/>
      <c r="BG319" s="64"/>
      <c r="BH319" s="64"/>
    </row>
    <row r="320" spans="1:60" ht="14.25" customHeight="1" x14ac:dyDescent="0.25">
      <c r="A320" s="64"/>
      <c r="B320" s="64"/>
      <c r="C320" s="234" t="s">
        <v>38</v>
      </c>
      <c r="D320" s="234"/>
      <c r="E320" s="234"/>
      <c r="F320" s="234"/>
      <c r="G320" s="234"/>
      <c r="H320" s="234"/>
      <c r="I320" s="234"/>
      <c r="J320" s="234"/>
      <c r="K320" s="234"/>
      <c r="L320" s="234"/>
      <c r="M320" s="234"/>
      <c r="N320" s="234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64"/>
      <c r="AQ320" s="65"/>
      <c r="AR320" s="65"/>
      <c r="AS320" s="65"/>
      <c r="AT320" s="65"/>
      <c r="AU320" s="65"/>
      <c r="AV320" s="65"/>
      <c r="AW320" s="65"/>
      <c r="AX320" s="13"/>
      <c r="AY320" s="22"/>
      <c r="AZ320" s="22"/>
      <c r="BA320" s="22"/>
      <c r="BB320" s="22"/>
      <c r="BC320" s="22"/>
      <c r="BD320" s="22"/>
      <c r="BE320" s="22"/>
      <c r="BF320" s="22"/>
      <c r="BG320" s="64"/>
      <c r="BH320" s="64"/>
    </row>
    <row r="321" spans="1:60" ht="14.25" customHeight="1" x14ac:dyDescent="0.25">
      <c r="A321" s="64"/>
      <c r="B321" s="64"/>
      <c r="C321" s="234"/>
      <c r="D321" s="234"/>
      <c r="E321" s="234"/>
      <c r="F321" s="234"/>
      <c r="G321" s="234"/>
      <c r="H321" s="234"/>
      <c r="I321" s="234"/>
      <c r="J321" s="234"/>
      <c r="K321" s="234"/>
      <c r="L321" s="234"/>
      <c r="M321" s="234"/>
      <c r="N321" s="234"/>
      <c r="O321" s="68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235" t="s">
        <v>279</v>
      </c>
      <c r="AF321" s="236"/>
      <c r="AG321" s="236"/>
      <c r="AH321" s="236"/>
      <c r="AI321" s="236"/>
      <c r="AJ321" s="236"/>
      <c r="AK321" s="236"/>
      <c r="AL321" s="236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</row>
    <row r="322" spans="1:60" ht="14.25" customHeight="1" x14ac:dyDescent="0.25">
      <c r="A322" s="64"/>
      <c r="B322" s="64"/>
      <c r="C322" s="237" t="s">
        <v>278</v>
      </c>
      <c r="D322" s="237"/>
      <c r="E322" s="237"/>
      <c r="F322" s="237"/>
      <c r="G322" s="237"/>
      <c r="H322" s="237"/>
      <c r="I322" s="237"/>
      <c r="J322" s="237"/>
      <c r="K322" s="238"/>
      <c r="L322" s="115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7"/>
      <c r="AD322" s="64"/>
      <c r="AE322" s="236"/>
      <c r="AF322" s="236"/>
      <c r="AG322" s="236"/>
      <c r="AH322" s="236"/>
      <c r="AI322" s="236"/>
      <c r="AJ322" s="236"/>
      <c r="AK322" s="236"/>
      <c r="AL322" s="236"/>
      <c r="AM322" s="115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7"/>
      <c r="BG322" s="64"/>
      <c r="BH322" s="64"/>
    </row>
    <row r="323" spans="1:60" ht="14.25" customHeight="1" x14ac:dyDescent="0.25">
      <c r="A323" s="64"/>
      <c r="B323" s="64"/>
      <c r="C323" s="237"/>
      <c r="D323" s="237"/>
      <c r="E323" s="237"/>
      <c r="F323" s="237"/>
      <c r="G323" s="237"/>
      <c r="H323" s="237"/>
      <c r="I323" s="237"/>
      <c r="J323" s="237"/>
      <c r="K323" s="238"/>
      <c r="L323" s="118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  <c r="AA323" s="119"/>
      <c r="AB323" s="119"/>
      <c r="AC323" s="120"/>
      <c r="AD323" s="64"/>
      <c r="AE323" s="236"/>
      <c r="AF323" s="236"/>
      <c r="AG323" s="236"/>
      <c r="AH323" s="236"/>
      <c r="AI323" s="236"/>
      <c r="AJ323" s="236"/>
      <c r="AK323" s="236"/>
      <c r="AL323" s="236"/>
      <c r="AM323" s="118"/>
      <c r="AN323" s="119"/>
      <c r="AO323" s="119"/>
      <c r="AP323" s="119"/>
      <c r="AQ323" s="119"/>
      <c r="AR323" s="119"/>
      <c r="AS323" s="119"/>
      <c r="AT323" s="119"/>
      <c r="AU323" s="119"/>
      <c r="AV323" s="119"/>
      <c r="AW323" s="119"/>
      <c r="AX323" s="119"/>
      <c r="AY323" s="119"/>
      <c r="AZ323" s="119"/>
      <c r="BA323" s="119"/>
      <c r="BB323" s="119"/>
      <c r="BC323" s="119"/>
      <c r="BD323" s="119"/>
      <c r="BE323" s="119"/>
      <c r="BF323" s="120"/>
      <c r="BG323" s="64"/>
      <c r="BH323" s="64"/>
    </row>
    <row r="324" spans="1:60" ht="14.25" customHeight="1" x14ac:dyDescent="0.25">
      <c r="A324" s="64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226" t="s">
        <v>282</v>
      </c>
      <c r="AP324" s="227"/>
      <c r="AQ324" s="227"/>
      <c r="AR324" s="227"/>
      <c r="AS324" s="227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</row>
    <row r="325" spans="1:60" ht="14.25" customHeight="1" x14ac:dyDescent="0.25">
      <c r="A325" s="64"/>
      <c r="B325" s="64"/>
      <c r="C325" s="143" t="s">
        <v>280</v>
      </c>
      <c r="D325" s="143"/>
      <c r="E325" s="143"/>
      <c r="F325" s="200"/>
      <c r="G325" s="64"/>
      <c r="H325" s="64"/>
      <c r="I325" s="115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7"/>
      <c r="AD325" s="64"/>
      <c r="AE325" s="64"/>
      <c r="AF325" s="64"/>
      <c r="AG325" s="143" t="s">
        <v>281</v>
      </c>
      <c r="AH325" s="200"/>
      <c r="AI325" s="200"/>
      <c r="AJ325" s="218"/>
      <c r="AK325" s="122"/>
      <c r="AL325" s="123"/>
      <c r="AM325" s="123"/>
      <c r="AN325" s="124"/>
      <c r="AO325" s="228"/>
      <c r="AP325" s="228"/>
      <c r="AQ325" s="228"/>
      <c r="AR325" s="228"/>
      <c r="AS325" s="228"/>
      <c r="AT325" s="122"/>
      <c r="AU325" s="123"/>
      <c r="AV325" s="123"/>
      <c r="AW325" s="124"/>
      <c r="AX325" s="229" t="s">
        <v>283</v>
      </c>
      <c r="AY325" s="230"/>
      <c r="AZ325" s="230"/>
      <c r="BA325" s="230"/>
      <c r="BB325" s="231"/>
      <c r="BC325" s="122"/>
      <c r="BD325" s="123"/>
      <c r="BE325" s="123"/>
      <c r="BF325" s="124"/>
      <c r="BG325" s="64"/>
      <c r="BH325" s="64"/>
    </row>
    <row r="326" spans="1:60" ht="14.25" customHeight="1" x14ac:dyDescent="0.25">
      <c r="A326" s="64"/>
      <c r="B326" s="64"/>
      <c r="C326" s="143"/>
      <c r="D326" s="143"/>
      <c r="E326" s="143"/>
      <c r="F326" s="200"/>
      <c r="G326" s="64"/>
      <c r="H326" s="64"/>
      <c r="I326" s="118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  <c r="AA326" s="119"/>
      <c r="AB326" s="119"/>
      <c r="AC326" s="120"/>
      <c r="AD326" s="64"/>
      <c r="AE326" s="64"/>
      <c r="AF326" s="64"/>
      <c r="AG326" s="200"/>
      <c r="AH326" s="200"/>
      <c r="AI326" s="200"/>
      <c r="AJ326" s="218"/>
      <c r="AK326" s="125"/>
      <c r="AL326" s="126"/>
      <c r="AM326" s="126"/>
      <c r="AN326" s="127"/>
      <c r="AO326" s="228"/>
      <c r="AP326" s="228"/>
      <c r="AQ326" s="228"/>
      <c r="AR326" s="228"/>
      <c r="AS326" s="228"/>
      <c r="AT326" s="125"/>
      <c r="AU326" s="126"/>
      <c r="AV326" s="126"/>
      <c r="AW326" s="127"/>
      <c r="AX326" s="232"/>
      <c r="AY326" s="230"/>
      <c r="AZ326" s="230"/>
      <c r="BA326" s="230"/>
      <c r="BB326" s="231"/>
      <c r="BC326" s="125"/>
      <c r="BD326" s="126"/>
      <c r="BE326" s="126"/>
      <c r="BF326" s="127"/>
      <c r="BG326" s="64"/>
      <c r="BH326" s="64"/>
    </row>
    <row r="327" spans="1:60" ht="14.25" customHeight="1" x14ac:dyDescent="0.25">
      <c r="A327" s="64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</row>
    <row r="328" spans="1:60" ht="14.25" customHeight="1" x14ac:dyDescent="0.25">
      <c r="A328" s="64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</row>
    <row r="329" spans="1:60" ht="14.25" customHeight="1" x14ac:dyDescent="0.25">
      <c r="A329" s="64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</row>
    <row r="330" spans="1:60" ht="14.25" customHeight="1" x14ac:dyDescent="0.25">
      <c r="A330" s="64"/>
      <c r="B330" s="64"/>
      <c r="C330" s="64"/>
      <c r="D330" s="64"/>
      <c r="E330" s="64"/>
      <c r="F330" s="64"/>
      <c r="G330" s="63" t="s">
        <v>18</v>
      </c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23" t="s">
        <v>19</v>
      </c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23" t="s">
        <v>20</v>
      </c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23" t="s">
        <v>21</v>
      </c>
      <c r="BA330" s="64"/>
      <c r="BB330" s="64"/>
      <c r="BC330" s="64"/>
      <c r="BD330" s="64"/>
      <c r="BE330" s="64"/>
      <c r="BF330" s="64"/>
      <c r="BG330" s="64"/>
      <c r="BH330" s="64"/>
    </row>
    <row r="331" spans="1:60" ht="14.25" customHeight="1" x14ac:dyDescent="0.25">
      <c r="A331" s="64"/>
      <c r="B331" s="64"/>
      <c r="C331" s="64"/>
      <c r="D331" s="64"/>
      <c r="E331" s="64"/>
      <c r="F331" s="64"/>
      <c r="G331" s="64"/>
      <c r="H331" s="64"/>
      <c r="I331" s="8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8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8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8"/>
      <c r="BA331" s="64"/>
      <c r="BB331" s="64"/>
      <c r="BC331" s="64"/>
      <c r="BD331" s="64"/>
      <c r="BE331" s="64"/>
      <c r="BF331" s="64"/>
      <c r="BG331" s="64"/>
      <c r="BH331" s="64"/>
    </row>
    <row r="332" spans="1:60" ht="14.25" customHeight="1" x14ac:dyDescent="0.25">
      <c r="A332" s="64"/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9" t="s">
        <v>22</v>
      </c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</row>
    <row r="333" spans="1:60" ht="14.25" customHeight="1" x14ac:dyDescent="0.25">
      <c r="A333" s="64"/>
      <c r="B333" s="64"/>
      <c r="C333" s="64"/>
      <c r="D333" s="64"/>
      <c r="E333" s="64"/>
      <c r="F333" s="64"/>
      <c r="G333" s="64"/>
      <c r="H333" s="64"/>
      <c r="I333" s="64"/>
      <c r="J333" s="64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</row>
    <row r="334" spans="1:60" ht="14.25" customHeight="1" x14ac:dyDescent="0.25">
      <c r="A334" s="64"/>
      <c r="B334" s="64"/>
      <c r="C334" s="64"/>
      <c r="D334" s="64"/>
      <c r="E334" s="64"/>
      <c r="F334" s="64"/>
      <c r="G334" s="64"/>
      <c r="H334" s="64"/>
      <c r="I334" s="64"/>
      <c r="J334" s="64"/>
      <c r="K334" s="64"/>
      <c r="L334" s="64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69"/>
      <c r="AI334" s="69"/>
      <c r="AJ334" s="69"/>
      <c r="AK334" s="69"/>
      <c r="AL334" s="69"/>
      <c r="AM334" s="69"/>
      <c r="AN334" s="69"/>
      <c r="AO334" s="69"/>
      <c r="AP334" s="69"/>
      <c r="AQ334" s="69"/>
      <c r="AR334" s="69"/>
      <c r="AS334" s="69"/>
      <c r="AT334" s="69"/>
      <c r="AU334" s="69"/>
      <c r="AV334" s="69"/>
      <c r="AW334" s="69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</row>
    <row r="335" spans="1:60" ht="14.25" customHeight="1" x14ac:dyDescent="0.25">
      <c r="A335" s="64"/>
      <c r="B335" s="64"/>
      <c r="C335" s="160" t="s">
        <v>63</v>
      </c>
      <c r="D335" s="160"/>
      <c r="E335" s="160"/>
      <c r="F335" s="160"/>
      <c r="G335" s="160"/>
      <c r="H335" s="160"/>
      <c r="I335" s="160"/>
      <c r="J335" s="160"/>
      <c r="K335" s="160"/>
      <c r="L335" s="160"/>
      <c r="M335" s="160"/>
      <c r="N335" s="180"/>
      <c r="O335" s="218"/>
      <c r="P335" s="115"/>
      <c r="Q335" s="212"/>
      <c r="R335" s="212"/>
      <c r="S335" s="212"/>
      <c r="T335" s="213"/>
      <c r="U335" s="9"/>
      <c r="V335" s="146" t="s">
        <v>64</v>
      </c>
      <c r="W335" s="146"/>
      <c r="X335" s="146"/>
      <c r="Y335" s="146"/>
      <c r="Z335" s="146"/>
      <c r="AA335" s="146"/>
      <c r="AB335" s="146"/>
      <c r="AC335" s="220"/>
      <c r="AD335" s="115"/>
      <c r="AE335" s="116"/>
      <c r="AF335" s="116"/>
      <c r="AG335" s="116"/>
      <c r="AH335" s="116"/>
      <c r="AI335" s="116"/>
      <c r="AJ335" s="116"/>
      <c r="AK335" s="117"/>
      <c r="AL335" s="64"/>
      <c r="AM335" s="64"/>
      <c r="AN335" s="64"/>
      <c r="AO335" s="64"/>
      <c r="AP335" s="64"/>
      <c r="AQ335" s="64"/>
      <c r="AR335" s="221" t="s">
        <v>65</v>
      </c>
      <c r="AS335" s="221"/>
      <c r="AT335" s="221"/>
      <c r="AU335" s="221"/>
      <c r="AV335" s="221"/>
      <c r="AW335" s="64"/>
      <c r="AX335" s="64"/>
      <c r="AY335" s="201"/>
      <c r="AZ335" s="202"/>
      <c r="BA335" s="202"/>
      <c r="BB335" s="202"/>
      <c r="BC335" s="202"/>
      <c r="BD335" s="202"/>
      <c r="BE335" s="202"/>
      <c r="BF335" s="203"/>
      <c r="BG335" s="64"/>
      <c r="BH335" s="64"/>
    </row>
    <row r="336" spans="1:60" ht="14.25" customHeight="1" x14ac:dyDescent="0.25">
      <c r="A336" s="64"/>
      <c r="B336" s="64"/>
      <c r="C336" s="160"/>
      <c r="D336" s="160"/>
      <c r="E336" s="160"/>
      <c r="F336" s="160"/>
      <c r="G336" s="160"/>
      <c r="H336" s="160"/>
      <c r="I336" s="160"/>
      <c r="J336" s="160"/>
      <c r="K336" s="160"/>
      <c r="L336" s="160"/>
      <c r="M336" s="160"/>
      <c r="N336" s="180"/>
      <c r="O336" s="218"/>
      <c r="P336" s="214"/>
      <c r="Q336" s="215"/>
      <c r="R336" s="215"/>
      <c r="S336" s="215"/>
      <c r="T336" s="216"/>
      <c r="U336" s="10"/>
      <c r="V336" s="146"/>
      <c r="W336" s="146"/>
      <c r="X336" s="146"/>
      <c r="Y336" s="146"/>
      <c r="Z336" s="146"/>
      <c r="AA336" s="146"/>
      <c r="AB336" s="146"/>
      <c r="AC336" s="220"/>
      <c r="AD336" s="118"/>
      <c r="AE336" s="119"/>
      <c r="AF336" s="119"/>
      <c r="AG336" s="119"/>
      <c r="AH336" s="119"/>
      <c r="AI336" s="119"/>
      <c r="AJ336" s="119"/>
      <c r="AK336" s="120"/>
      <c r="AL336" s="10"/>
      <c r="AM336" s="10"/>
      <c r="AN336" s="10"/>
      <c r="AO336" s="10"/>
      <c r="AP336" s="10"/>
      <c r="AQ336" s="10"/>
      <c r="AR336" s="221"/>
      <c r="AS336" s="221"/>
      <c r="AT336" s="221"/>
      <c r="AU336" s="221"/>
      <c r="AV336" s="221"/>
      <c r="AW336" s="10"/>
      <c r="AX336" s="69"/>
      <c r="AY336" s="204"/>
      <c r="AZ336" s="205"/>
      <c r="BA336" s="205"/>
      <c r="BB336" s="205"/>
      <c r="BC336" s="205"/>
      <c r="BD336" s="205"/>
      <c r="BE336" s="205"/>
      <c r="BF336" s="206"/>
      <c r="BG336" s="64"/>
      <c r="BH336" s="64"/>
    </row>
    <row r="337" spans="1:60" ht="14.25" customHeight="1" x14ac:dyDescent="0.25">
      <c r="A337" s="64"/>
      <c r="B337" s="64"/>
      <c r="C337" s="64"/>
      <c r="D337" s="64"/>
      <c r="E337" s="64"/>
      <c r="F337" s="64"/>
      <c r="G337" s="64"/>
      <c r="H337" s="64"/>
      <c r="I337" s="64"/>
      <c r="J337" s="64"/>
      <c r="K337" s="64"/>
      <c r="L337" s="69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</row>
    <row r="338" spans="1:60" ht="14.25" customHeight="1" x14ac:dyDescent="0.25">
      <c r="A338" s="64"/>
      <c r="B338" s="64"/>
      <c r="C338" s="64"/>
      <c r="D338" s="64"/>
      <c r="E338" s="64"/>
      <c r="F338" s="64"/>
      <c r="G338" s="64"/>
      <c r="H338" s="64"/>
      <c r="I338" s="64"/>
      <c r="J338" s="64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</row>
    <row r="339" spans="1:60" ht="14.25" customHeight="1" x14ac:dyDescent="0.25">
      <c r="A339" s="64"/>
      <c r="B339" s="64"/>
      <c r="C339" s="143" t="s">
        <v>66</v>
      </c>
      <c r="D339" s="143"/>
      <c r="E339" s="143"/>
      <c r="F339" s="143"/>
      <c r="G339" s="211"/>
      <c r="H339" s="200"/>
      <c r="I339" s="218"/>
      <c r="J339" s="115"/>
      <c r="K339" s="212"/>
      <c r="L339" s="212"/>
      <c r="M339" s="212"/>
      <c r="N339" s="212"/>
      <c r="O339" s="212"/>
      <c r="P339" s="212"/>
      <c r="Q339" s="212"/>
      <c r="R339" s="212"/>
      <c r="S339" s="212"/>
      <c r="T339" s="212"/>
      <c r="U339" s="212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12"/>
      <c r="AF339" s="212"/>
      <c r="AG339" s="212"/>
      <c r="AH339" s="212"/>
      <c r="AI339" s="212"/>
      <c r="AJ339" s="212"/>
      <c r="AK339" s="212"/>
      <c r="AL339" s="212"/>
      <c r="AM339" s="212"/>
      <c r="AN339" s="213"/>
      <c r="AO339" s="64"/>
      <c r="AP339" s="163" t="s">
        <v>67</v>
      </c>
      <c r="AQ339" s="163"/>
      <c r="AR339" s="163"/>
      <c r="AS339" s="163"/>
      <c r="AT339" s="163"/>
      <c r="AU339" s="163"/>
      <c r="AV339" s="163"/>
      <c r="AW339" s="200"/>
      <c r="AX339" s="218"/>
      <c r="AY339" s="115"/>
      <c r="AZ339" s="116"/>
      <c r="BA339" s="116"/>
      <c r="BB339" s="116"/>
      <c r="BC339" s="116"/>
      <c r="BD339" s="116"/>
      <c r="BE339" s="116"/>
      <c r="BF339" s="117"/>
      <c r="BG339" s="64"/>
      <c r="BH339" s="64"/>
    </row>
    <row r="340" spans="1:60" ht="14.25" customHeight="1" x14ac:dyDescent="0.25">
      <c r="A340" s="69"/>
      <c r="B340" s="69"/>
      <c r="C340" s="143"/>
      <c r="D340" s="143"/>
      <c r="E340" s="143"/>
      <c r="F340" s="143"/>
      <c r="G340" s="211"/>
      <c r="H340" s="200"/>
      <c r="I340" s="218"/>
      <c r="J340" s="214"/>
      <c r="K340" s="215"/>
      <c r="L340" s="215"/>
      <c r="M340" s="215"/>
      <c r="N340" s="215"/>
      <c r="O340" s="215"/>
      <c r="P340" s="215"/>
      <c r="Q340" s="215"/>
      <c r="R340" s="215"/>
      <c r="S340" s="215"/>
      <c r="T340" s="215"/>
      <c r="U340" s="215"/>
      <c r="V340" s="215"/>
      <c r="W340" s="215"/>
      <c r="X340" s="215"/>
      <c r="Y340" s="215"/>
      <c r="Z340" s="215"/>
      <c r="AA340" s="215"/>
      <c r="AB340" s="215"/>
      <c r="AC340" s="215"/>
      <c r="AD340" s="215"/>
      <c r="AE340" s="215"/>
      <c r="AF340" s="215"/>
      <c r="AG340" s="215"/>
      <c r="AH340" s="215"/>
      <c r="AI340" s="215"/>
      <c r="AJ340" s="215"/>
      <c r="AK340" s="215"/>
      <c r="AL340" s="215"/>
      <c r="AM340" s="215"/>
      <c r="AN340" s="216"/>
      <c r="AO340" s="64"/>
      <c r="AP340" s="163"/>
      <c r="AQ340" s="163"/>
      <c r="AR340" s="163"/>
      <c r="AS340" s="163"/>
      <c r="AT340" s="163"/>
      <c r="AU340" s="163"/>
      <c r="AV340" s="163"/>
      <c r="AW340" s="200"/>
      <c r="AX340" s="218"/>
      <c r="AY340" s="118"/>
      <c r="AZ340" s="119"/>
      <c r="BA340" s="119"/>
      <c r="BB340" s="119"/>
      <c r="BC340" s="119"/>
      <c r="BD340" s="119"/>
      <c r="BE340" s="119"/>
      <c r="BF340" s="120"/>
      <c r="BG340" s="69"/>
      <c r="BH340" s="69"/>
    </row>
    <row r="341" spans="1:60" ht="14.25" customHeight="1" x14ac:dyDescent="0.25">
      <c r="A341" s="69"/>
      <c r="B341" s="69"/>
      <c r="C341" s="69"/>
      <c r="D341" s="69"/>
      <c r="E341" s="69"/>
      <c r="F341" s="69"/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69"/>
      <c r="R341" s="69"/>
      <c r="S341" s="69"/>
      <c r="T341" s="69"/>
      <c r="U341" s="69"/>
      <c r="V341" s="69"/>
      <c r="W341" s="69"/>
      <c r="X341" s="69"/>
      <c r="Y341" s="69"/>
      <c r="Z341" s="69"/>
      <c r="AA341" s="69"/>
      <c r="AB341" s="69"/>
      <c r="AC341" s="69"/>
      <c r="AD341" s="69"/>
      <c r="AE341" s="69"/>
      <c r="AF341" s="69"/>
      <c r="AG341" s="69"/>
      <c r="AH341" s="69"/>
      <c r="AI341" s="69"/>
      <c r="AJ341" s="69"/>
      <c r="AK341" s="69"/>
      <c r="AL341" s="69"/>
      <c r="AM341" s="69"/>
      <c r="AN341" s="69"/>
      <c r="AO341" s="69"/>
      <c r="AP341" s="69"/>
      <c r="AQ341" s="69"/>
      <c r="AR341" s="69"/>
      <c r="AS341" s="69"/>
      <c r="AT341" s="69"/>
      <c r="AU341" s="69"/>
      <c r="AV341" s="69"/>
      <c r="AW341" s="69"/>
      <c r="AX341" s="69"/>
      <c r="AY341" s="69"/>
      <c r="AZ341" s="69"/>
      <c r="BA341" s="69"/>
      <c r="BB341" s="69"/>
      <c r="BC341" s="69"/>
      <c r="BD341" s="69"/>
      <c r="BE341" s="69"/>
      <c r="BF341" s="69"/>
      <c r="BG341" s="69"/>
      <c r="BH341" s="69"/>
    </row>
    <row r="342" spans="1:60" ht="14.25" customHeight="1" x14ac:dyDescent="0.25">
      <c r="A342" s="69"/>
      <c r="B342" s="69"/>
      <c r="C342" s="160" t="s">
        <v>68</v>
      </c>
      <c r="D342" s="160"/>
      <c r="E342" s="160"/>
      <c r="F342" s="160"/>
      <c r="G342" s="160"/>
      <c r="H342" s="160"/>
      <c r="I342" s="160"/>
      <c r="J342" s="160"/>
      <c r="K342" s="160"/>
      <c r="L342" s="160"/>
      <c r="M342" s="160"/>
      <c r="N342" s="160"/>
      <c r="O342" s="160"/>
      <c r="P342" s="160"/>
      <c r="Q342" s="160"/>
      <c r="R342" s="160"/>
      <c r="S342" s="160"/>
      <c r="T342" s="160"/>
      <c r="U342" s="160"/>
      <c r="V342" s="160"/>
      <c r="W342" s="180"/>
      <c r="X342" s="222"/>
      <c r="Y342" s="223"/>
      <c r="Z342" s="94"/>
      <c r="AA342" s="212"/>
      <c r="AB342" s="212"/>
      <c r="AC342" s="212"/>
      <c r="AD342" s="212"/>
      <c r="AE342" s="212"/>
      <c r="AF342" s="212"/>
      <c r="AG342" s="212"/>
      <c r="AH342" s="212"/>
      <c r="AI342" s="212"/>
      <c r="AJ342" s="212"/>
      <c r="AK342" s="212"/>
      <c r="AL342" s="212"/>
      <c r="AM342" s="212"/>
      <c r="AN342" s="212"/>
      <c r="AO342" s="212"/>
      <c r="AP342" s="212"/>
      <c r="AQ342" s="212"/>
      <c r="AR342" s="212"/>
      <c r="AS342" s="212"/>
      <c r="AT342" s="212"/>
      <c r="AU342" s="212"/>
      <c r="AV342" s="212"/>
      <c r="AW342" s="212"/>
      <c r="AX342" s="212"/>
      <c r="AY342" s="212"/>
      <c r="AZ342" s="212"/>
      <c r="BA342" s="212"/>
      <c r="BB342" s="212"/>
      <c r="BC342" s="212"/>
      <c r="BD342" s="212"/>
      <c r="BE342" s="212"/>
      <c r="BF342" s="212"/>
      <c r="BG342" s="26"/>
      <c r="BH342" s="25"/>
    </row>
    <row r="343" spans="1:60" ht="14.25" customHeight="1" x14ac:dyDescent="0.25">
      <c r="A343" s="69"/>
      <c r="B343" s="69"/>
      <c r="C343" s="160"/>
      <c r="D343" s="160"/>
      <c r="E343" s="160"/>
      <c r="F343" s="160"/>
      <c r="G343" s="160"/>
      <c r="H343" s="160"/>
      <c r="I343" s="160"/>
      <c r="J343" s="160"/>
      <c r="K343" s="160"/>
      <c r="L343" s="160"/>
      <c r="M343" s="160"/>
      <c r="N343" s="160"/>
      <c r="O343" s="160"/>
      <c r="P343" s="160"/>
      <c r="Q343" s="160"/>
      <c r="R343" s="160"/>
      <c r="S343" s="160"/>
      <c r="T343" s="160"/>
      <c r="U343" s="160"/>
      <c r="V343" s="160"/>
      <c r="W343" s="180"/>
      <c r="X343" s="222"/>
      <c r="Y343" s="223"/>
      <c r="Z343" s="214"/>
      <c r="AA343" s="215"/>
      <c r="AB343" s="215"/>
      <c r="AC343" s="215"/>
      <c r="AD343" s="215"/>
      <c r="AE343" s="215"/>
      <c r="AF343" s="215"/>
      <c r="AG343" s="215"/>
      <c r="AH343" s="215"/>
      <c r="AI343" s="215"/>
      <c r="AJ343" s="215"/>
      <c r="AK343" s="215"/>
      <c r="AL343" s="215"/>
      <c r="AM343" s="215"/>
      <c r="AN343" s="215"/>
      <c r="AO343" s="215"/>
      <c r="AP343" s="215"/>
      <c r="AQ343" s="215"/>
      <c r="AR343" s="215"/>
      <c r="AS343" s="215"/>
      <c r="AT343" s="215"/>
      <c r="AU343" s="215"/>
      <c r="AV343" s="215"/>
      <c r="AW343" s="215"/>
      <c r="AX343" s="215"/>
      <c r="AY343" s="215"/>
      <c r="AZ343" s="215"/>
      <c r="BA343" s="215"/>
      <c r="BB343" s="215"/>
      <c r="BC343" s="215"/>
      <c r="BD343" s="215"/>
      <c r="BE343" s="215"/>
      <c r="BF343" s="215"/>
      <c r="BG343" s="26"/>
      <c r="BH343" s="25"/>
    </row>
    <row r="344" spans="1:60" ht="14.25" customHeight="1" x14ac:dyDescent="0.25">
      <c r="A344" s="69"/>
      <c r="B344" s="69"/>
      <c r="C344" s="63"/>
      <c r="D344" s="63"/>
      <c r="E344" s="63"/>
      <c r="F344" s="63"/>
      <c r="G344" s="63"/>
      <c r="H344" s="6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69"/>
      <c r="AE344" s="69"/>
      <c r="AF344" s="63"/>
      <c r="AG344" s="63"/>
      <c r="AH344" s="63"/>
      <c r="AI344" s="63"/>
      <c r="AJ344" s="63"/>
      <c r="AK344" s="63"/>
      <c r="AL344" s="25"/>
      <c r="AM344" s="25"/>
      <c r="AN344" s="25"/>
      <c r="AO344" s="25"/>
      <c r="AP344" s="25"/>
      <c r="AQ344" s="69"/>
      <c r="AR344" s="66"/>
      <c r="AS344" s="66"/>
      <c r="AT344" s="66"/>
      <c r="AU344" s="66"/>
      <c r="AV344" s="66"/>
      <c r="AW344" s="23"/>
      <c r="AX344" s="23"/>
      <c r="AY344" s="23"/>
      <c r="AZ344" s="23"/>
      <c r="BA344" s="23"/>
      <c r="BB344" s="23"/>
      <c r="BC344" s="23"/>
      <c r="BD344" s="23"/>
      <c r="BE344" s="23"/>
      <c r="BF344" s="23"/>
      <c r="BG344" s="69"/>
      <c r="BH344" s="69"/>
    </row>
    <row r="345" spans="1:60" ht="14.25" customHeight="1" x14ac:dyDescent="0.25">
      <c r="A345" s="69"/>
      <c r="B345" s="69"/>
      <c r="C345" s="160" t="s">
        <v>91</v>
      </c>
      <c r="D345" s="160"/>
      <c r="E345" s="160"/>
      <c r="F345" s="160"/>
      <c r="G345" s="160"/>
      <c r="H345" s="160"/>
      <c r="I345" s="160"/>
      <c r="J345" s="160"/>
      <c r="K345" s="160"/>
      <c r="L345" s="160"/>
      <c r="M345" s="160"/>
      <c r="N345" s="160"/>
      <c r="O345" s="160"/>
      <c r="P345" s="160"/>
      <c r="Q345" s="160"/>
      <c r="R345" s="160"/>
      <c r="S345" s="160"/>
      <c r="T345" s="160"/>
      <c r="U345" s="160"/>
      <c r="V345" s="160"/>
      <c r="W345" s="180"/>
      <c r="X345" s="222"/>
      <c r="Y345" s="24"/>
      <c r="Z345" s="94"/>
      <c r="AA345" s="212"/>
      <c r="AB345" s="212"/>
      <c r="AC345" s="212"/>
      <c r="AD345" s="212"/>
      <c r="AE345" s="212"/>
      <c r="AF345" s="212"/>
      <c r="AG345" s="212"/>
      <c r="AH345" s="212"/>
      <c r="AI345" s="212"/>
      <c r="AJ345" s="212"/>
      <c r="AK345" s="212"/>
      <c r="AL345" s="212"/>
      <c r="AM345" s="212"/>
      <c r="AN345" s="212"/>
      <c r="AO345" s="212"/>
      <c r="AP345" s="212"/>
      <c r="AQ345" s="212"/>
      <c r="AR345" s="212"/>
      <c r="AS345" s="212"/>
      <c r="AT345" s="212"/>
      <c r="AU345" s="212"/>
      <c r="AV345" s="212"/>
      <c r="AW345" s="212"/>
      <c r="AX345" s="212"/>
      <c r="AY345" s="212"/>
      <c r="AZ345" s="212"/>
      <c r="BA345" s="212"/>
      <c r="BB345" s="212"/>
      <c r="BC345" s="212"/>
      <c r="BD345" s="212"/>
      <c r="BE345" s="212"/>
      <c r="BF345" s="213"/>
      <c r="BG345" s="26"/>
      <c r="BH345" s="25"/>
    </row>
    <row r="346" spans="1:60" ht="14.25" customHeight="1" x14ac:dyDescent="0.25">
      <c r="A346" s="69"/>
      <c r="B346" s="69"/>
      <c r="C346" s="160"/>
      <c r="D346" s="160"/>
      <c r="E346" s="160"/>
      <c r="F346" s="160"/>
      <c r="G346" s="160"/>
      <c r="H346" s="160"/>
      <c r="I346" s="160"/>
      <c r="J346" s="160"/>
      <c r="K346" s="160"/>
      <c r="L346" s="160"/>
      <c r="M346" s="160"/>
      <c r="N346" s="160"/>
      <c r="O346" s="160"/>
      <c r="P346" s="160"/>
      <c r="Q346" s="160"/>
      <c r="R346" s="160"/>
      <c r="S346" s="160"/>
      <c r="T346" s="160"/>
      <c r="U346" s="160"/>
      <c r="V346" s="160"/>
      <c r="W346" s="180"/>
      <c r="X346" s="222"/>
      <c r="Y346" s="24"/>
      <c r="Z346" s="214"/>
      <c r="AA346" s="215"/>
      <c r="AB346" s="215"/>
      <c r="AC346" s="215"/>
      <c r="AD346" s="215"/>
      <c r="AE346" s="215"/>
      <c r="AF346" s="215"/>
      <c r="AG346" s="215"/>
      <c r="AH346" s="215"/>
      <c r="AI346" s="215"/>
      <c r="AJ346" s="215"/>
      <c r="AK346" s="215"/>
      <c r="AL346" s="215"/>
      <c r="AM346" s="215"/>
      <c r="AN346" s="215"/>
      <c r="AO346" s="215"/>
      <c r="AP346" s="215"/>
      <c r="AQ346" s="215"/>
      <c r="AR346" s="215"/>
      <c r="AS346" s="215"/>
      <c r="AT346" s="215"/>
      <c r="AU346" s="215"/>
      <c r="AV346" s="215"/>
      <c r="AW346" s="215"/>
      <c r="AX346" s="215"/>
      <c r="AY346" s="215"/>
      <c r="AZ346" s="215"/>
      <c r="BA346" s="215"/>
      <c r="BB346" s="215"/>
      <c r="BC346" s="215"/>
      <c r="BD346" s="215"/>
      <c r="BE346" s="215"/>
      <c r="BF346" s="216"/>
      <c r="BG346" s="26"/>
      <c r="BH346" s="25"/>
    </row>
    <row r="347" spans="1:60" ht="14.25" customHeight="1" x14ac:dyDescent="0.25">
      <c r="A347" s="69"/>
      <c r="B347" s="69"/>
      <c r="C347" s="63"/>
      <c r="D347" s="63"/>
      <c r="E347" s="63"/>
      <c r="F347" s="63"/>
      <c r="G347" s="63"/>
      <c r="H347" s="69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69"/>
      <c r="AE347" s="69"/>
      <c r="AF347" s="63"/>
      <c r="AG347" s="63"/>
      <c r="AH347" s="63"/>
      <c r="AI347" s="63"/>
      <c r="AJ347" s="63"/>
      <c r="AK347" s="6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  <c r="BC347" s="23"/>
      <c r="BD347" s="23"/>
      <c r="BE347" s="23"/>
      <c r="BF347" s="23"/>
      <c r="BG347" s="69"/>
      <c r="BH347" s="69"/>
    </row>
    <row r="348" spans="1:60" ht="14.25" customHeight="1" x14ac:dyDescent="0.25">
      <c r="A348" s="69"/>
      <c r="B348" s="69"/>
      <c r="C348" s="63"/>
      <c r="D348" s="63"/>
      <c r="E348" s="63"/>
      <c r="F348" s="63"/>
      <c r="G348" s="63"/>
      <c r="H348" s="69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69"/>
      <c r="AE348" s="69"/>
      <c r="AF348" s="63"/>
      <c r="AG348" s="63"/>
      <c r="AH348" s="63"/>
      <c r="AI348" s="63"/>
      <c r="AJ348" s="63"/>
      <c r="AK348" s="6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  <c r="BC348" s="23"/>
      <c r="BD348" s="23"/>
      <c r="BE348" s="23"/>
      <c r="BF348" s="23"/>
      <c r="BG348" s="69"/>
      <c r="BH348" s="69"/>
    </row>
    <row r="349" spans="1:60" ht="14.25" customHeight="1" x14ac:dyDescent="0.25">
      <c r="A349" s="64"/>
      <c r="B349" s="64"/>
      <c r="C349" s="64"/>
      <c r="D349" s="64"/>
      <c r="E349" s="64"/>
      <c r="F349" s="64"/>
      <c r="G349" s="64"/>
      <c r="H349" s="64"/>
      <c r="I349" s="64"/>
      <c r="J349" s="64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22"/>
      <c r="AP349" s="64"/>
      <c r="AQ349" s="64"/>
      <c r="AR349" s="64"/>
      <c r="AS349" s="64"/>
      <c r="AT349" s="64"/>
      <c r="AU349" s="64"/>
      <c r="AV349" s="64"/>
      <c r="AW349" s="67"/>
      <c r="AX349" s="12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</row>
    <row r="350" spans="1:60" ht="14.25" customHeight="1" x14ac:dyDescent="0.25">
      <c r="A350" s="64"/>
      <c r="B350" s="64"/>
      <c r="C350" s="64"/>
      <c r="D350" s="64"/>
      <c r="E350" s="64"/>
      <c r="F350" s="64"/>
      <c r="G350" s="64"/>
      <c r="H350" s="64"/>
      <c r="I350" s="64"/>
      <c r="J350" s="64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22"/>
      <c r="AP350" s="64"/>
      <c r="AQ350" s="64"/>
      <c r="AR350" s="64"/>
      <c r="AS350" s="64"/>
      <c r="AT350" s="64"/>
      <c r="AU350" s="64"/>
      <c r="AV350" s="64"/>
      <c r="AW350" s="67"/>
      <c r="AX350" s="12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</row>
    <row r="351" spans="1:60" ht="14.25" customHeight="1" x14ac:dyDescent="0.25">
      <c r="A351" s="64"/>
      <c r="B351" s="64"/>
      <c r="C351" s="69"/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  <c r="AA351" s="69"/>
      <c r="AB351" s="69"/>
      <c r="AC351" s="69"/>
      <c r="AD351" s="69"/>
      <c r="AE351" s="69"/>
      <c r="AF351" s="69"/>
      <c r="AG351" s="69"/>
      <c r="AH351" s="69"/>
      <c r="AI351" s="69"/>
      <c r="AJ351" s="69"/>
      <c r="AK351" s="69"/>
      <c r="AL351" s="69"/>
      <c r="AM351" s="69"/>
      <c r="AN351" s="69"/>
      <c r="AO351" s="69"/>
      <c r="AP351" s="69"/>
      <c r="AQ351" s="69"/>
      <c r="AR351" s="69"/>
      <c r="AS351" s="69"/>
      <c r="AT351" s="69"/>
      <c r="AU351" s="69"/>
      <c r="AV351" s="69"/>
      <c r="AW351" s="69"/>
      <c r="AX351" s="69"/>
      <c r="AY351" s="69"/>
      <c r="AZ351" s="69"/>
      <c r="BA351" s="69"/>
      <c r="BB351" s="69"/>
      <c r="BC351" s="69"/>
      <c r="BD351" s="69"/>
      <c r="BE351" s="69"/>
      <c r="BF351" s="69"/>
      <c r="BG351" s="64"/>
      <c r="BH351" s="64"/>
    </row>
    <row r="352" spans="1:60" ht="14.25" customHeight="1" x14ac:dyDescent="0.25">
      <c r="A352" s="64"/>
      <c r="B352" s="64"/>
      <c r="C352" s="69"/>
      <c r="D352" s="69"/>
      <c r="E352" s="69"/>
      <c r="F352" s="69"/>
      <c r="G352" s="69"/>
      <c r="H352" s="69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69"/>
      <c r="AQ352" s="65"/>
      <c r="AR352" s="65"/>
      <c r="AS352" s="65"/>
      <c r="AT352" s="65"/>
      <c r="AU352" s="65"/>
      <c r="AV352" s="65"/>
      <c r="AW352" s="65"/>
      <c r="AX352" s="13"/>
      <c r="AY352" s="22"/>
      <c r="AZ352" s="22"/>
      <c r="BA352" s="22"/>
      <c r="BB352" s="22"/>
      <c r="BC352" s="22"/>
      <c r="BD352" s="22"/>
      <c r="BE352" s="22"/>
      <c r="BF352" s="22"/>
      <c r="BG352" s="64"/>
      <c r="BH352" s="64"/>
    </row>
    <row r="353" spans="1:60" ht="14.25" customHeight="1" x14ac:dyDescent="0.25">
      <c r="A353" s="64"/>
      <c r="B353" s="64"/>
      <c r="C353" s="146" t="s">
        <v>69</v>
      </c>
      <c r="D353" s="200"/>
      <c r="E353" s="200"/>
      <c r="F353" s="200"/>
      <c r="G353" s="200"/>
      <c r="H353" s="200"/>
      <c r="I353" s="218"/>
      <c r="J353" s="115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  <c r="BC353" s="116"/>
      <c r="BD353" s="116"/>
      <c r="BE353" s="116"/>
      <c r="BF353" s="117"/>
      <c r="BG353" s="64"/>
      <c r="BH353" s="64"/>
    </row>
    <row r="354" spans="1:60" ht="14.25" customHeight="1" x14ac:dyDescent="0.25">
      <c r="A354" s="64"/>
      <c r="B354" s="64"/>
      <c r="C354" s="200"/>
      <c r="D354" s="200"/>
      <c r="E354" s="200"/>
      <c r="F354" s="200"/>
      <c r="G354" s="200"/>
      <c r="H354" s="200"/>
      <c r="I354" s="218"/>
      <c r="J354" s="118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  <c r="AA354" s="119"/>
      <c r="AB354" s="119"/>
      <c r="AC354" s="119"/>
      <c r="AD354" s="119"/>
      <c r="AE354" s="119"/>
      <c r="AF354" s="119"/>
      <c r="AG354" s="119"/>
      <c r="AH354" s="119"/>
      <c r="AI354" s="119"/>
      <c r="AJ354" s="119"/>
      <c r="AK354" s="119"/>
      <c r="AL354" s="119"/>
      <c r="AM354" s="119"/>
      <c r="AN354" s="119"/>
      <c r="AO354" s="119"/>
      <c r="AP354" s="119"/>
      <c r="AQ354" s="119"/>
      <c r="AR354" s="119"/>
      <c r="AS354" s="119"/>
      <c r="AT354" s="119"/>
      <c r="AU354" s="119"/>
      <c r="AV354" s="119"/>
      <c r="AW354" s="119"/>
      <c r="AX354" s="119"/>
      <c r="AY354" s="119"/>
      <c r="AZ354" s="119"/>
      <c r="BA354" s="119"/>
      <c r="BB354" s="119"/>
      <c r="BC354" s="119"/>
      <c r="BD354" s="119"/>
      <c r="BE354" s="119"/>
      <c r="BF354" s="120"/>
      <c r="BG354" s="64"/>
      <c r="BH354" s="64"/>
    </row>
    <row r="355" spans="1:60" ht="14.25" customHeight="1" x14ac:dyDescent="0.25">
      <c r="A355" s="64"/>
      <c r="B355" s="6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5"/>
      <c r="P355" s="69"/>
      <c r="Q355" s="69"/>
      <c r="R355" s="69"/>
      <c r="S355" s="69"/>
      <c r="T355" s="69"/>
      <c r="U355" s="69"/>
      <c r="V355" s="69"/>
      <c r="W355" s="69"/>
      <c r="X355" s="69"/>
      <c r="Y355" s="69"/>
      <c r="Z355" s="69"/>
      <c r="AA355" s="69"/>
      <c r="AB355" s="69"/>
      <c r="AC355" s="69"/>
      <c r="AD355" s="69"/>
      <c r="AE355" s="12"/>
      <c r="AF355" s="16"/>
      <c r="AG355" s="16"/>
      <c r="AH355" s="16"/>
      <c r="AI355" s="16"/>
      <c r="AJ355" s="16"/>
      <c r="AK355" s="16"/>
      <c r="AL355" s="16"/>
      <c r="AM355" s="69"/>
      <c r="AN355" s="69"/>
      <c r="AO355" s="69"/>
      <c r="AP355" s="69"/>
      <c r="AQ355" s="69"/>
      <c r="AR355" s="69"/>
      <c r="AS355" s="69"/>
      <c r="AT355" s="69"/>
      <c r="AU355" s="69"/>
      <c r="AV355" s="69"/>
      <c r="AW355" s="69"/>
      <c r="AX355" s="69"/>
      <c r="AY355" s="69"/>
      <c r="AZ355" s="69"/>
      <c r="BA355" s="69"/>
      <c r="BB355" s="69"/>
      <c r="BC355" s="69"/>
      <c r="BD355" s="69"/>
      <c r="BE355" s="69"/>
      <c r="BF355" s="69"/>
      <c r="BG355" s="64"/>
      <c r="BH355" s="64"/>
    </row>
    <row r="356" spans="1:60" ht="14.25" customHeight="1" x14ac:dyDescent="0.25">
      <c r="A356" s="64"/>
      <c r="B356" s="64"/>
      <c r="C356" s="160" t="s">
        <v>70</v>
      </c>
      <c r="D356" s="160"/>
      <c r="E356" s="160"/>
      <c r="F356" s="160"/>
      <c r="G356" s="160"/>
      <c r="H356" s="160"/>
      <c r="I356" s="160"/>
      <c r="J356" s="160"/>
      <c r="K356" s="160"/>
      <c r="L356" s="160"/>
      <c r="M356" s="160"/>
      <c r="N356" s="180"/>
      <c r="O356" s="22"/>
      <c r="P356" s="24"/>
      <c r="Q356" s="94"/>
      <c r="R356" s="212"/>
      <c r="S356" s="212"/>
      <c r="T356" s="212"/>
      <c r="U356" s="212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12"/>
      <c r="AF356" s="212"/>
      <c r="AG356" s="212"/>
      <c r="AH356" s="212"/>
      <c r="AI356" s="212"/>
      <c r="AJ356" s="212"/>
      <c r="AK356" s="212"/>
      <c r="AL356" s="212"/>
      <c r="AM356" s="212"/>
      <c r="AN356" s="212"/>
      <c r="AO356" s="212"/>
      <c r="AP356" s="212"/>
      <c r="AQ356" s="212"/>
      <c r="AR356" s="212"/>
      <c r="AS356" s="212"/>
      <c r="AT356" s="212"/>
      <c r="AU356" s="212"/>
      <c r="AV356" s="212"/>
      <c r="AW356" s="212"/>
      <c r="AX356" s="212"/>
      <c r="AY356" s="212"/>
      <c r="AZ356" s="212"/>
      <c r="BA356" s="212"/>
      <c r="BB356" s="212"/>
      <c r="BC356" s="212"/>
      <c r="BD356" s="212"/>
      <c r="BE356" s="212"/>
      <c r="BF356" s="213"/>
      <c r="BG356" s="26"/>
      <c r="BH356" s="25"/>
    </row>
    <row r="357" spans="1:60" ht="14.25" customHeight="1" x14ac:dyDescent="0.25">
      <c r="A357" s="64"/>
      <c r="B357" s="64"/>
      <c r="C357" s="160"/>
      <c r="D357" s="160"/>
      <c r="E357" s="160"/>
      <c r="F357" s="160"/>
      <c r="G357" s="160"/>
      <c r="H357" s="160"/>
      <c r="I357" s="160"/>
      <c r="J357" s="160"/>
      <c r="K357" s="160"/>
      <c r="L357" s="160"/>
      <c r="M357" s="160"/>
      <c r="N357" s="180"/>
      <c r="O357" s="22"/>
      <c r="P357" s="24"/>
      <c r="Q357" s="214"/>
      <c r="R357" s="215"/>
      <c r="S357" s="215"/>
      <c r="T357" s="215"/>
      <c r="U357" s="215"/>
      <c r="V357" s="215"/>
      <c r="W357" s="215"/>
      <c r="X357" s="215"/>
      <c r="Y357" s="215"/>
      <c r="Z357" s="215"/>
      <c r="AA357" s="215"/>
      <c r="AB357" s="215"/>
      <c r="AC357" s="215"/>
      <c r="AD357" s="215"/>
      <c r="AE357" s="215"/>
      <c r="AF357" s="215"/>
      <c r="AG357" s="215"/>
      <c r="AH357" s="215"/>
      <c r="AI357" s="215"/>
      <c r="AJ357" s="215"/>
      <c r="AK357" s="215"/>
      <c r="AL357" s="215"/>
      <c r="AM357" s="215"/>
      <c r="AN357" s="215"/>
      <c r="AO357" s="215"/>
      <c r="AP357" s="215"/>
      <c r="AQ357" s="215"/>
      <c r="AR357" s="215"/>
      <c r="AS357" s="215"/>
      <c r="AT357" s="215"/>
      <c r="AU357" s="215"/>
      <c r="AV357" s="215"/>
      <c r="AW357" s="215"/>
      <c r="AX357" s="215"/>
      <c r="AY357" s="215"/>
      <c r="AZ357" s="215"/>
      <c r="BA357" s="215"/>
      <c r="BB357" s="215"/>
      <c r="BC357" s="215"/>
      <c r="BD357" s="215"/>
      <c r="BE357" s="215"/>
      <c r="BF357" s="216"/>
      <c r="BG357" s="26"/>
      <c r="BH357" s="25"/>
    </row>
    <row r="358" spans="1:60" ht="14.25" customHeight="1" x14ac:dyDescent="0.25">
      <c r="A358" s="64"/>
      <c r="B358" s="64"/>
      <c r="C358" s="69"/>
      <c r="D358" s="69"/>
      <c r="E358" s="69"/>
      <c r="F358" s="69"/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69"/>
      <c r="R358" s="69"/>
      <c r="S358" s="69"/>
      <c r="T358" s="69"/>
      <c r="U358" s="69"/>
      <c r="V358" s="69"/>
      <c r="W358" s="69"/>
      <c r="X358" s="69"/>
      <c r="Y358" s="69"/>
      <c r="Z358" s="69"/>
      <c r="AA358" s="69"/>
      <c r="AB358" s="69"/>
      <c r="AC358" s="69"/>
      <c r="AD358" s="69"/>
      <c r="AE358" s="69"/>
      <c r="AF358" s="69"/>
      <c r="AG358" s="69"/>
      <c r="AH358" s="69"/>
      <c r="AI358" s="69"/>
      <c r="AJ358" s="69"/>
      <c r="AK358" s="69"/>
      <c r="AL358" s="69"/>
      <c r="AM358" s="69"/>
      <c r="AN358" s="69"/>
      <c r="AO358" s="69"/>
      <c r="AP358" s="16"/>
      <c r="AQ358" s="16"/>
      <c r="AR358" s="16"/>
      <c r="AS358" s="16"/>
      <c r="AT358" s="69"/>
      <c r="AU358" s="69"/>
      <c r="AV358" s="69"/>
      <c r="AW358" s="69"/>
      <c r="AX358" s="69"/>
      <c r="AY358" s="69"/>
      <c r="AZ358" s="69"/>
      <c r="BA358" s="69"/>
      <c r="BB358" s="69"/>
      <c r="BC358" s="69"/>
      <c r="BD358" s="69"/>
      <c r="BE358" s="69"/>
      <c r="BF358" s="69"/>
      <c r="BG358" s="64"/>
      <c r="BH358" s="64"/>
    </row>
    <row r="359" spans="1:60" ht="14.25" customHeight="1" x14ac:dyDescent="0.25">
      <c r="A359" s="64"/>
      <c r="B359" s="64"/>
      <c r="C359" s="160" t="s">
        <v>71</v>
      </c>
      <c r="D359" s="160"/>
      <c r="E359" s="160"/>
      <c r="F359" s="160"/>
      <c r="G359" s="160"/>
      <c r="H359" s="175"/>
      <c r="I359" s="200"/>
      <c r="J359" s="200"/>
      <c r="K359" s="200"/>
      <c r="L359" s="200"/>
      <c r="M359" s="200"/>
      <c r="N359" s="200"/>
      <c r="O359" s="22"/>
      <c r="P359" s="24"/>
      <c r="Q359" s="94"/>
      <c r="R359" s="212"/>
      <c r="S359" s="212"/>
      <c r="T359" s="212"/>
      <c r="U359" s="212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12"/>
      <c r="AF359" s="212"/>
      <c r="AG359" s="212"/>
      <c r="AH359" s="212"/>
      <c r="AI359" s="212"/>
      <c r="AJ359" s="212"/>
      <c r="AK359" s="212"/>
      <c r="AL359" s="212"/>
      <c r="AM359" s="212"/>
      <c r="AN359" s="212"/>
      <c r="AO359" s="212"/>
      <c r="AP359" s="212"/>
      <c r="AQ359" s="212"/>
      <c r="AR359" s="212"/>
      <c r="AS359" s="212"/>
      <c r="AT359" s="212"/>
      <c r="AU359" s="212"/>
      <c r="AV359" s="212"/>
      <c r="AW359" s="212"/>
      <c r="AX359" s="212"/>
      <c r="AY359" s="212"/>
      <c r="AZ359" s="212"/>
      <c r="BA359" s="212"/>
      <c r="BB359" s="212"/>
      <c r="BC359" s="212"/>
      <c r="BD359" s="212"/>
      <c r="BE359" s="212"/>
      <c r="BF359" s="213"/>
      <c r="BG359" s="26"/>
      <c r="BH359" s="25"/>
    </row>
    <row r="360" spans="1:60" ht="14.25" customHeight="1" x14ac:dyDescent="0.25">
      <c r="A360" s="64"/>
      <c r="B360" s="64"/>
      <c r="C360" s="160"/>
      <c r="D360" s="160"/>
      <c r="E360" s="160"/>
      <c r="F360" s="160"/>
      <c r="G360" s="160"/>
      <c r="H360" s="175"/>
      <c r="I360" s="200"/>
      <c r="J360" s="200"/>
      <c r="K360" s="200"/>
      <c r="L360" s="200"/>
      <c r="M360" s="200"/>
      <c r="N360" s="200"/>
      <c r="O360" s="22"/>
      <c r="P360" s="24"/>
      <c r="Q360" s="214"/>
      <c r="R360" s="215"/>
      <c r="S360" s="215"/>
      <c r="T360" s="215"/>
      <c r="U360" s="215"/>
      <c r="V360" s="215"/>
      <c r="W360" s="215"/>
      <c r="X360" s="215"/>
      <c r="Y360" s="215"/>
      <c r="Z360" s="215"/>
      <c r="AA360" s="215"/>
      <c r="AB360" s="215"/>
      <c r="AC360" s="215"/>
      <c r="AD360" s="215"/>
      <c r="AE360" s="215"/>
      <c r="AF360" s="215"/>
      <c r="AG360" s="215"/>
      <c r="AH360" s="215"/>
      <c r="AI360" s="215"/>
      <c r="AJ360" s="215"/>
      <c r="AK360" s="215"/>
      <c r="AL360" s="215"/>
      <c r="AM360" s="215"/>
      <c r="AN360" s="215"/>
      <c r="AO360" s="215"/>
      <c r="AP360" s="215"/>
      <c r="AQ360" s="215"/>
      <c r="AR360" s="215"/>
      <c r="AS360" s="215"/>
      <c r="AT360" s="215"/>
      <c r="AU360" s="215"/>
      <c r="AV360" s="215"/>
      <c r="AW360" s="215"/>
      <c r="AX360" s="215"/>
      <c r="AY360" s="215"/>
      <c r="AZ360" s="215"/>
      <c r="BA360" s="215"/>
      <c r="BB360" s="215"/>
      <c r="BC360" s="215"/>
      <c r="BD360" s="215"/>
      <c r="BE360" s="215"/>
      <c r="BF360" s="216"/>
      <c r="BG360" s="26"/>
      <c r="BH360" s="25"/>
    </row>
    <row r="361" spans="1:60" ht="14.25" customHeight="1" x14ac:dyDescent="0.25">
      <c r="A361" s="64"/>
      <c r="B361" s="64"/>
      <c r="C361" s="210"/>
      <c r="D361" s="217"/>
      <c r="E361" s="217"/>
      <c r="F361" s="217"/>
      <c r="G361" s="217"/>
      <c r="H361" s="217"/>
      <c r="I361" s="217"/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64"/>
      <c r="BH361" s="64"/>
    </row>
    <row r="362" spans="1:60" ht="14.25" customHeight="1" x14ac:dyDescent="0.25">
      <c r="A362" s="64"/>
      <c r="B362" s="64"/>
      <c r="C362" s="64"/>
      <c r="D362" s="64"/>
      <c r="E362" s="64"/>
      <c r="F362" s="64"/>
      <c r="G362" s="64"/>
      <c r="H362" s="64"/>
      <c r="I362" s="64"/>
      <c r="J362" s="64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</row>
    <row r="363" spans="1:60" ht="14.25" customHeight="1" x14ac:dyDescent="0.25">
      <c r="A363" s="64"/>
      <c r="B363" s="64"/>
      <c r="C363" s="64"/>
      <c r="D363" s="64"/>
      <c r="E363" s="64"/>
      <c r="F363" s="64"/>
      <c r="G363" s="64"/>
      <c r="H363" s="64"/>
      <c r="I363" s="64"/>
      <c r="J363" s="64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</row>
    <row r="364" spans="1:60" ht="14.25" customHeight="1" x14ac:dyDescent="0.25">
      <c r="A364" s="64"/>
      <c r="B364" s="64"/>
      <c r="C364" s="64"/>
      <c r="D364" s="64"/>
      <c r="E364" s="64"/>
      <c r="F364" s="64"/>
      <c r="G364" s="64"/>
      <c r="H364" s="64"/>
      <c r="I364" s="64"/>
      <c r="J364" s="64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</row>
    <row r="365" spans="1:60" ht="14.25" customHeight="1" x14ac:dyDescent="0.25">
      <c r="A365" s="64"/>
      <c r="B365" s="64"/>
      <c r="C365" s="160" t="s">
        <v>72</v>
      </c>
      <c r="D365" s="160"/>
      <c r="E365" s="160"/>
      <c r="F365" s="160"/>
      <c r="G365" s="160"/>
      <c r="H365" s="175"/>
      <c r="I365" s="169"/>
      <c r="J365" s="170"/>
      <c r="K365" s="170"/>
      <c r="L365" s="170"/>
      <c r="M365" s="170"/>
      <c r="N365" s="170"/>
      <c r="O365" s="170"/>
      <c r="P365" s="170"/>
      <c r="Q365" s="170"/>
      <c r="R365" s="170"/>
      <c r="S365" s="170"/>
      <c r="T365" s="170"/>
      <c r="U365" s="170"/>
      <c r="V365" s="170"/>
      <c r="W365" s="170"/>
      <c r="X365" s="170"/>
      <c r="Y365" s="170"/>
      <c r="Z365" s="170"/>
      <c r="AA365" s="170"/>
      <c r="AB365" s="170"/>
      <c r="AC365" s="171"/>
      <c r="AD365" s="64"/>
      <c r="AE365" s="160" t="s">
        <v>73</v>
      </c>
      <c r="AF365" s="200"/>
      <c r="AG365" s="200"/>
      <c r="AH365" s="200"/>
      <c r="AI365" s="200"/>
      <c r="AJ365" s="200"/>
      <c r="AK365" s="218"/>
      <c r="AL365" s="94"/>
      <c r="AM365" s="95"/>
      <c r="AN365" s="95"/>
      <c r="AO365" s="95"/>
      <c r="AP365" s="96"/>
      <c r="AQ365" s="229" t="s">
        <v>74</v>
      </c>
      <c r="AR365" s="200"/>
      <c r="AS365" s="200"/>
      <c r="AT365" s="200"/>
      <c r="AU365" s="200"/>
      <c r="AV365" s="218"/>
      <c r="AW365" s="169"/>
      <c r="AX365" s="170"/>
      <c r="AY365" s="170"/>
      <c r="AZ365" s="170"/>
      <c r="BA365" s="170"/>
      <c r="BB365" s="170"/>
      <c r="BC365" s="170"/>
      <c r="BD365" s="170"/>
      <c r="BE365" s="170"/>
      <c r="BF365" s="171"/>
      <c r="BG365" s="64"/>
      <c r="BH365" s="64"/>
    </row>
    <row r="366" spans="1:60" ht="14.25" customHeight="1" x14ac:dyDescent="0.25">
      <c r="A366" s="64"/>
      <c r="B366" s="64"/>
      <c r="C366" s="160"/>
      <c r="D366" s="160"/>
      <c r="E366" s="160"/>
      <c r="F366" s="160"/>
      <c r="G366" s="160"/>
      <c r="H366" s="175"/>
      <c r="I366" s="172"/>
      <c r="J366" s="173"/>
      <c r="K366" s="173"/>
      <c r="L366" s="173"/>
      <c r="M366" s="173"/>
      <c r="N366" s="173"/>
      <c r="O366" s="173"/>
      <c r="P366" s="173"/>
      <c r="Q366" s="173"/>
      <c r="R366" s="173"/>
      <c r="S366" s="173"/>
      <c r="T366" s="173"/>
      <c r="U366" s="173"/>
      <c r="V366" s="173"/>
      <c r="W366" s="173"/>
      <c r="X366" s="173"/>
      <c r="Y366" s="173"/>
      <c r="Z366" s="173"/>
      <c r="AA366" s="173"/>
      <c r="AB366" s="173"/>
      <c r="AC366" s="174"/>
      <c r="AD366" s="64"/>
      <c r="AE366" s="200"/>
      <c r="AF366" s="200"/>
      <c r="AG366" s="200"/>
      <c r="AH366" s="200"/>
      <c r="AI366" s="200"/>
      <c r="AJ366" s="200"/>
      <c r="AK366" s="218"/>
      <c r="AL366" s="97"/>
      <c r="AM366" s="98"/>
      <c r="AN366" s="98"/>
      <c r="AO366" s="98"/>
      <c r="AP366" s="99"/>
      <c r="AQ366" s="233"/>
      <c r="AR366" s="200"/>
      <c r="AS366" s="200"/>
      <c r="AT366" s="200"/>
      <c r="AU366" s="200"/>
      <c r="AV366" s="218"/>
      <c r="AW366" s="172"/>
      <c r="AX366" s="173"/>
      <c r="AY366" s="173"/>
      <c r="AZ366" s="173"/>
      <c r="BA366" s="173"/>
      <c r="BB366" s="173"/>
      <c r="BC366" s="173"/>
      <c r="BD366" s="173"/>
      <c r="BE366" s="173"/>
      <c r="BF366" s="174"/>
      <c r="BG366" s="64"/>
      <c r="BH366" s="64"/>
    </row>
    <row r="367" spans="1:60" ht="14.25" customHeight="1" x14ac:dyDescent="0.25">
      <c r="A367" s="64"/>
      <c r="B367" s="64"/>
      <c r="C367" s="62"/>
      <c r="D367" s="62"/>
      <c r="E367" s="62"/>
      <c r="F367" s="62"/>
      <c r="G367" s="62"/>
      <c r="H367" s="62"/>
      <c r="I367" s="64"/>
      <c r="J367" s="64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2"/>
      <c r="AG367" s="62"/>
      <c r="AH367" s="62"/>
      <c r="AI367" s="62"/>
      <c r="AJ367" s="62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</row>
    <row r="368" spans="1:60" ht="14.25" customHeight="1" x14ac:dyDescent="0.25">
      <c r="A368" s="64"/>
      <c r="B368" s="64"/>
      <c r="C368" s="160" t="s">
        <v>75</v>
      </c>
      <c r="D368" s="160"/>
      <c r="E368" s="160"/>
      <c r="F368" s="160"/>
      <c r="G368" s="160"/>
      <c r="H368" s="64"/>
      <c r="I368" s="169"/>
      <c r="J368" s="170"/>
      <c r="K368" s="170"/>
      <c r="L368" s="170"/>
      <c r="M368" s="170"/>
      <c r="N368" s="170"/>
      <c r="O368" s="170"/>
      <c r="P368" s="170"/>
      <c r="Q368" s="170"/>
      <c r="R368" s="170"/>
      <c r="S368" s="170"/>
      <c r="T368" s="170"/>
      <c r="U368" s="170"/>
      <c r="V368" s="170"/>
      <c r="W368" s="170"/>
      <c r="X368" s="170"/>
      <c r="Y368" s="170"/>
      <c r="Z368" s="170"/>
      <c r="AA368" s="170"/>
      <c r="AB368" s="170"/>
      <c r="AC368" s="171"/>
      <c r="AD368" s="64"/>
      <c r="AE368" s="160" t="s">
        <v>76</v>
      </c>
      <c r="AF368" s="200"/>
      <c r="AG368" s="200"/>
      <c r="AH368" s="200"/>
      <c r="AI368" s="200"/>
      <c r="AJ368" s="200"/>
      <c r="AK368" s="218"/>
      <c r="AL368" s="169"/>
      <c r="AM368" s="170"/>
      <c r="AN368" s="170"/>
      <c r="AO368" s="170"/>
      <c r="AP368" s="170"/>
      <c r="AQ368" s="170"/>
      <c r="AR368" s="170"/>
      <c r="AS368" s="170"/>
      <c r="AT368" s="170"/>
      <c r="AU368" s="170"/>
      <c r="AV368" s="170"/>
      <c r="AW368" s="170"/>
      <c r="AX368" s="170"/>
      <c r="AY368" s="170"/>
      <c r="AZ368" s="170"/>
      <c r="BA368" s="170"/>
      <c r="BB368" s="170"/>
      <c r="BC368" s="170"/>
      <c r="BD368" s="170"/>
      <c r="BE368" s="170"/>
      <c r="BF368" s="171"/>
      <c r="BG368" s="64"/>
      <c r="BH368" s="64"/>
    </row>
    <row r="369" spans="1:60" ht="14.25" customHeight="1" x14ac:dyDescent="0.25">
      <c r="A369" s="64"/>
      <c r="B369" s="64"/>
      <c r="C369" s="160"/>
      <c r="D369" s="160"/>
      <c r="E369" s="160"/>
      <c r="F369" s="160"/>
      <c r="G369" s="160"/>
      <c r="H369" s="64"/>
      <c r="I369" s="172"/>
      <c r="J369" s="173"/>
      <c r="K369" s="173"/>
      <c r="L369" s="173"/>
      <c r="M369" s="173"/>
      <c r="N369" s="173"/>
      <c r="O369" s="173"/>
      <c r="P369" s="173"/>
      <c r="Q369" s="173"/>
      <c r="R369" s="173"/>
      <c r="S369" s="173"/>
      <c r="T369" s="173"/>
      <c r="U369" s="173"/>
      <c r="V369" s="173"/>
      <c r="W369" s="173"/>
      <c r="X369" s="173"/>
      <c r="Y369" s="173"/>
      <c r="Z369" s="173"/>
      <c r="AA369" s="173"/>
      <c r="AB369" s="173"/>
      <c r="AC369" s="174"/>
      <c r="AD369" s="64"/>
      <c r="AE369" s="200"/>
      <c r="AF369" s="200"/>
      <c r="AG369" s="200"/>
      <c r="AH369" s="200"/>
      <c r="AI369" s="200"/>
      <c r="AJ369" s="200"/>
      <c r="AK369" s="218"/>
      <c r="AL369" s="172"/>
      <c r="AM369" s="173"/>
      <c r="AN369" s="173"/>
      <c r="AO369" s="173"/>
      <c r="AP369" s="173"/>
      <c r="AQ369" s="173"/>
      <c r="AR369" s="173"/>
      <c r="AS369" s="173"/>
      <c r="AT369" s="173"/>
      <c r="AU369" s="173"/>
      <c r="AV369" s="173"/>
      <c r="AW369" s="173"/>
      <c r="AX369" s="173"/>
      <c r="AY369" s="173"/>
      <c r="AZ369" s="173"/>
      <c r="BA369" s="173"/>
      <c r="BB369" s="173"/>
      <c r="BC369" s="173"/>
      <c r="BD369" s="173"/>
      <c r="BE369" s="173"/>
      <c r="BF369" s="174"/>
      <c r="BG369" s="64"/>
      <c r="BH369" s="64"/>
    </row>
    <row r="370" spans="1:60" ht="14.25" customHeight="1" x14ac:dyDescent="0.25">
      <c r="A370" s="64"/>
      <c r="B370" s="64"/>
      <c r="C370" s="64"/>
      <c r="D370" s="64"/>
      <c r="E370" s="64"/>
      <c r="F370" s="64"/>
      <c r="G370" s="64"/>
      <c r="H370" s="64"/>
      <c r="I370" s="64"/>
      <c r="J370" s="64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2"/>
      <c r="AG370" s="62"/>
      <c r="AH370" s="62"/>
      <c r="AI370" s="62"/>
      <c r="AJ370" s="62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</row>
    <row r="371" spans="1:60" ht="14.25" customHeight="1" x14ac:dyDescent="0.25">
      <c r="A371" s="64"/>
      <c r="B371" s="64"/>
      <c r="C371" s="160" t="s">
        <v>77</v>
      </c>
      <c r="D371" s="160"/>
      <c r="E371" s="160"/>
      <c r="F371" s="160"/>
      <c r="G371" s="160"/>
      <c r="H371" s="64"/>
      <c r="I371" s="169"/>
      <c r="J371" s="170"/>
      <c r="K371" s="170"/>
      <c r="L371" s="170"/>
      <c r="M371" s="170"/>
      <c r="N371" s="170"/>
      <c r="O371" s="170"/>
      <c r="P371" s="170"/>
      <c r="Q371" s="170"/>
      <c r="R371" s="170"/>
      <c r="S371" s="170"/>
      <c r="T371" s="170"/>
      <c r="U371" s="170"/>
      <c r="V371" s="170"/>
      <c r="W371" s="170"/>
      <c r="X371" s="170"/>
      <c r="Y371" s="170"/>
      <c r="Z371" s="170"/>
      <c r="AA371" s="170"/>
      <c r="AB371" s="170"/>
      <c r="AC371" s="171"/>
      <c r="AD371" s="64"/>
      <c r="AE371" s="239" t="s">
        <v>78</v>
      </c>
      <c r="AF371" s="239"/>
      <c r="AG371" s="239"/>
      <c r="AH371" s="239"/>
      <c r="AI371" s="239"/>
      <c r="AJ371" s="239"/>
      <c r="AK371" s="239"/>
      <c r="AL371" s="239"/>
      <c r="AM371" s="239"/>
      <c r="AN371" s="239"/>
      <c r="AO371" s="239"/>
      <c r="AP371" s="239"/>
      <c r="AQ371" s="239"/>
      <c r="AR371" s="239"/>
      <c r="AS371" s="239"/>
      <c r="AT371" s="94" t="s">
        <v>46</v>
      </c>
      <c r="AU371" s="95"/>
      <c r="AV371" s="95"/>
      <c r="AW371" s="96"/>
      <c r="AX371" s="36"/>
      <c r="AY371" s="162" t="s">
        <v>261</v>
      </c>
      <c r="AZ371" s="162"/>
      <c r="BA371" s="240"/>
      <c r="BB371" s="115"/>
      <c r="BC371" s="116"/>
      <c r="BD371" s="116"/>
      <c r="BE371" s="116"/>
      <c r="BF371" s="117"/>
      <c r="BG371" s="64"/>
      <c r="BH371" s="64"/>
    </row>
    <row r="372" spans="1:60" ht="14.25" customHeight="1" x14ac:dyDescent="0.25">
      <c r="A372" s="64"/>
      <c r="B372" s="64"/>
      <c r="C372" s="160"/>
      <c r="D372" s="160"/>
      <c r="E372" s="160"/>
      <c r="F372" s="160"/>
      <c r="G372" s="160"/>
      <c r="H372" s="64"/>
      <c r="I372" s="172"/>
      <c r="J372" s="173"/>
      <c r="K372" s="173"/>
      <c r="L372" s="173"/>
      <c r="M372" s="173"/>
      <c r="N372" s="173"/>
      <c r="O372" s="173"/>
      <c r="P372" s="173"/>
      <c r="Q372" s="173"/>
      <c r="R372" s="173"/>
      <c r="S372" s="173"/>
      <c r="T372" s="173"/>
      <c r="U372" s="173"/>
      <c r="V372" s="173"/>
      <c r="W372" s="173"/>
      <c r="X372" s="173"/>
      <c r="Y372" s="173"/>
      <c r="Z372" s="173"/>
      <c r="AA372" s="173"/>
      <c r="AB372" s="173"/>
      <c r="AC372" s="174"/>
      <c r="AD372" s="64"/>
      <c r="AE372" s="239"/>
      <c r="AF372" s="239"/>
      <c r="AG372" s="239"/>
      <c r="AH372" s="239"/>
      <c r="AI372" s="239"/>
      <c r="AJ372" s="239"/>
      <c r="AK372" s="239"/>
      <c r="AL372" s="239"/>
      <c r="AM372" s="239"/>
      <c r="AN372" s="239"/>
      <c r="AO372" s="239"/>
      <c r="AP372" s="239"/>
      <c r="AQ372" s="239"/>
      <c r="AR372" s="239"/>
      <c r="AS372" s="239"/>
      <c r="AT372" s="97"/>
      <c r="AU372" s="98"/>
      <c r="AV372" s="98"/>
      <c r="AW372" s="99"/>
      <c r="AX372" s="36"/>
      <c r="AY372" s="162"/>
      <c r="AZ372" s="162"/>
      <c r="BA372" s="240"/>
      <c r="BB372" s="118"/>
      <c r="BC372" s="119"/>
      <c r="BD372" s="119"/>
      <c r="BE372" s="119"/>
      <c r="BF372" s="120"/>
      <c r="BG372" s="64"/>
      <c r="BH372" s="64"/>
    </row>
    <row r="373" spans="1:60" ht="14.25" customHeight="1" x14ac:dyDescent="0.25">
      <c r="A373" s="64"/>
      <c r="B373" s="64"/>
      <c r="C373" s="64"/>
      <c r="D373" s="64"/>
      <c r="E373" s="64"/>
      <c r="F373" s="64"/>
      <c r="G373" s="64"/>
      <c r="H373" s="64"/>
      <c r="I373" s="64"/>
      <c r="J373" s="64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</row>
    <row r="374" spans="1:60" ht="14.25" customHeight="1" x14ac:dyDescent="0.25">
      <c r="A374" s="64"/>
      <c r="B374" s="64"/>
      <c r="C374" s="143" t="s">
        <v>284</v>
      </c>
      <c r="D374" s="143"/>
      <c r="E374" s="143"/>
      <c r="F374" s="143"/>
      <c r="G374" s="143"/>
      <c r="H374" s="64"/>
      <c r="I374" s="100" t="s">
        <v>31</v>
      </c>
      <c r="J374" s="101"/>
      <c r="K374" s="101"/>
      <c r="L374" s="101"/>
      <c r="M374" s="101"/>
      <c r="N374" s="101"/>
      <c r="O374" s="101"/>
      <c r="P374" s="101"/>
      <c r="Q374" s="241"/>
      <c r="R374" s="241"/>
      <c r="S374" s="241"/>
      <c r="T374" s="241"/>
      <c r="U374" s="241"/>
      <c r="V374" s="242"/>
      <c r="W374" s="146" t="s">
        <v>285</v>
      </c>
      <c r="X374" s="146"/>
      <c r="Y374" s="146"/>
      <c r="Z374" s="218"/>
      <c r="AA374" s="115"/>
      <c r="AB374" s="212"/>
      <c r="AC374" s="212"/>
      <c r="AD374" s="213"/>
      <c r="AE374" s="146" t="s">
        <v>286</v>
      </c>
      <c r="AF374" s="200"/>
      <c r="AG374" s="200"/>
      <c r="AH374" s="200"/>
      <c r="AI374" s="218"/>
      <c r="AJ374" s="115"/>
      <c r="AK374" s="133"/>
      <c r="AL374" s="133"/>
      <c r="AM374" s="133"/>
      <c r="AN374" s="133"/>
      <c r="AO374" s="133"/>
      <c r="AP374" s="133"/>
      <c r="AQ374" s="134"/>
      <c r="AR374" s="19"/>
      <c r="AS374" s="221" t="s">
        <v>287</v>
      </c>
      <c r="AT374" s="221"/>
      <c r="AU374" s="221"/>
      <c r="AV374" s="221"/>
      <c r="AW374" s="221"/>
      <c r="AX374" s="167"/>
      <c r="AY374" s="94"/>
      <c r="AZ374" s="95"/>
      <c r="BA374" s="95"/>
      <c r="BB374" s="95"/>
      <c r="BC374" s="95"/>
      <c r="BD374" s="95"/>
      <c r="BE374" s="95"/>
      <c r="BF374" s="96"/>
      <c r="BG374" s="64"/>
      <c r="BH374" s="64"/>
    </row>
    <row r="375" spans="1:60" ht="14.25" customHeight="1" x14ac:dyDescent="0.25">
      <c r="A375" s="64"/>
      <c r="B375" s="64"/>
      <c r="C375" s="143"/>
      <c r="D375" s="143"/>
      <c r="E375" s="143"/>
      <c r="F375" s="143"/>
      <c r="G375" s="143"/>
      <c r="H375" s="64"/>
      <c r="I375" s="103"/>
      <c r="J375" s="104"/>
      <c r="K375" s="104"/>
      <c r="L375" s="104"/>
      <c r="M375" s="104"/>
      <c r="N375" s="104"/>
      <c r="O375" s="104"/>
      <c r="P375" s="104"/>
      <c r="Q375" s="243"/>
      <c r="R375" s="243"/>
      <c r="S375" s="243"/>
      <c r="T375" s="243"/>
      <c r="U375" s="243"/>
      <c r="V375" s="244"/>
      <c r="W375" s="146"/>
      <c r="X375" s="146"/>
      <c r="Y375" s="146"/>
      <c r="Z375" s="218"/>
      <c r="AA375" s="214"/>
      <c r="AB375" s="215"/>
      <c r="AC375" s="215"/>
      <c r="AD375" s="216"/>
      <c r="AE375" s="200"/>
      <c r="AF375" s="200"/>
      <c r="AG375" s="200"/>
      <c r="AH375" s="200"/>
      <c r="AI375" s="218"/>
      <c r="AJ375" s="135"/>
      <c r="AK375" s="136"/>
      <c r="AL375" s="136"/>
      <c r="AM375" s="136"/>
      <c r="AN375" s="136"/>
      <c r="AO375" s="136"/>
      <c r="AP375" s="136"/>
      <c r="AQ375" s="137"/>
      <c r="AR375" s="19"/>
      <c r="AS375" s="221"/>
      <c r="AT375" s="221"/>
      <c r="AU375" s="221"/>
      <c r="AV375" s="221"/>
      <c r="AW375" s="221"/>
      <c r="AX375" s="167"/>
      <c r="AY375" s="97"/>
      <c r="AZ375" s="98"/>
      <c r="BA375" s="98"/>
      <c r="BB375" s="98"/>
      <c r="BC375" s="98"/>
      <c r="BD375" s="98"/>
      <c r="BE375" s="98"/>
      <c r="BF375" s="99"/>
      <c r="BG375" s="64"/>
      <c r="BH375" s="64"/>
    </row>
    <row r="376" spans="1:60" ht="14.25" customHeight="1" x14ac:dyDescent="0.25">
      <c r="A376" s="64"/>
      <c r="B376" s="64"/>
      <c r="C376" s="64"/>
      <c r="D376" s="64"/>
      <c r="E376" s="64"/>
      <c r="F376" s="64"/>
      <c r="G376" s="64"/>
      <c r="H376" s="64"/>
      <c r="I376" s="64"/>
      <c r="J376" s="64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</row>
    <row r="377" spans="1:60" ht="14.25" customHeight="1" x14ac:dyDescent="0.25">
      <c r="A377" s="64"/>
      <c r="B377" s="64"/>
      <c r="C377" s="143" t="s">
        <v>288</v>
      </c>
      <c r="D377" s="143"/>
      <c r="E377" s="143"/>
      <c r="F377" s="143"/>
      <c r="G377" s="143"/>
      <c r="H377" s="218"/>
      <c r="I377" s="115"/>
      <c r="J377" s="116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6"/>
      <c r="X377" s="116"/>
      <c r="Y377" s="116"/>
      <c r="Z377" s="116"/>
      <c r="AA377" s="116"/>
      <c r="AB377" s="116"/>
      <c r="AC377" s="116"/>
      <c r="AD377" s="116"/>
      <c r="AE377" s="116"/>
      <c r="AF377" s="116"/>
      <c r="AG377" s="116"/>
      <c r="AH377" s="116"/>
      <c r="AI377" s="116"/>
      <c r="AJ377" s="116"/>
      <c r="AK377" s="116"/>
      <c r="AL377" s="116"/>
      <c r="AM377" s="116"/>
      <c r="AN377" s="116"/>
      <c r="AO377" s="117"/>
      <c r="AP377" s="145" t="s">
        <v>289</v>
      </c>
      <c r="AQ377" s="200"/>
      <c r="AR377" s="200"/>
      <c r="AS377" s="200"/>
      <c r="AT377" s="200"/>
      <c r="AU377" s="200"/>
      <c r="AV377" s="200"/>
      <c r="AW377" s="200"/>
      <c r="AX377" s="218"/>
      <c r="AY377" s="115"/>
      <c r="AZ377" s="116"/>
      <c r="BA377" s="116"/>
      <c r="BB377" s="116"/>
      <c r="BC377" s="116"/>
      <c r="BD377" s="116"/>
      <c r="BE377" s="116"/>
      <c r="BF377" s="117"/>
      <c r="BG377" s="64"/>
      <c r="BH377" s="64"/>
    </row>
    <row r="378" spans="1:60" ht="14.25" customHeight="1" x14ac:dyDescent="0.25">
      <c r="A378" s="64"/>
      <c r="B378" s="64"/>
      <c r="C378" s="143"/>
      <c r="D378" s="143"/>
      <c r="E378" s="143"/>
      <c r="F378" s="143"/>
      <c r="G378" s="143"/>
      <c r="H378" s="218"/>
      <c r="I378" s="118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  <c r="AA378" s="119"/>
      <c r="AB378" s="119"/>
      <c r="AC378" s="119"/>
      <c r="AD378" s="119"/>
      <c r="AE378" s="119"/>
      <c r="AF378" s="119"/>
      <c r="AG378" s="119"/>
      <c r="AH378" s="119"/>
      <c r="AI378" s="119"/>
      <c r="AJ378" s="119"/>
      <c r="AK378" s="119"/>
      <c r="AL378" s="119"/>
      <c r="AM378" s="119"/>
      <c r="AN378" s="119"/>
      <c r="AO378" s="120"/>
      <c r="AP378" s="233"/>
      <c r="AQ378" s="200"/>
      <c r="AR378" s="200"/>
      <c r="AS378" s="200"/>
      <c r="AT378" s="200"/>
      <c r="AU378" s="200"/>
      <c r="AV378" s="200"/>
      <c r="AW378" s="200"/>
      <c r="AX378" s="218"/>
      <c r="AY378" s="118"/>
      <c r="AZ378" s="119"/>
      <c r="BA378" s="119"/>
      <c r="BB378" s="119"/>
      <c r="BC378" s="119"/>
      <c r="BD378" s="119"/>
      <c r="BE378" s="119"/>
      <c r="BF378" s="120"/>
      <c r="BG378" s="64"/>
      <c r="BH378" s="64"/>
    </row>
    <row r="379" spans="1:60" ht="14.25" customHeight="1" x14ac:dyDescent="0.25">
      <c r="A379" s="64"/>
      <c r="B379" s="64"/>
      <c r="C379" s="234" t="s">
        <v>38</v>
      </c>
      <c r="D379" s="234"/>
      <c r="E379" s="234"/>
      <c r="F379" s="234"/>
      <c r="G379" s="234"/>
      <c r="H379" s="234"/>
      <c r="I379" s="234"/>
      <c r="J379" s="234"/>
      <c r="K379" s="234"/>
      <c r="L379" s="234"/>
      <c r="M379" s="234"/>
      <c r="N379" s="234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64"/>
      <c r="AQ379" s="65"/>
      <c r="AR379" s="65"/>
      <c r="AS379" s="65"/>
      <c r="AT379" s="65"/>
      <c r="AU379" s="65"/>
      <c r="AV379" s="65"/>
      <c r="AW379" s="65"/>
      <c r="AX379" s="13"/>
      <c r="AY379" s="22"/>
      <c r="AZ379" s="22"/>
      <c r="BA379" s="22"/>
      <c r="BB379" s="22"/>
      <c r="BC379" s="22"/>
      <c r="BD379" s="22"/>
      <c r="BE379" s="22"/>
      <c r="BF379" s="22"/>
      <c r="BG379" s="64"/>
      <c r="BH379" s="64"/>
    </row>
    <row r="380" spans="1:60" ht="14.25" customHeight="1" x14ac:dyDescent="0.25">
      <c r="A380" s="64"/>
      <c r="B380" s="64"/>
      <c r="C380" s="234"/>
      <c r="D380" s="234"/>
      <c r="E380" s="234"/>
      <c r="F380" s="234"/>
      <c r="G380" s="234"/>
      <c r="H380" s="234"/>
      <c r="I380" s="234"/>
      <c r="J380" s="234"/>
      <c r="K380" s="234"/>
      <c r="L380" s="234"/>
      <c r="M380" s="234"/>
      <c r="N380" s="234"/>
      <c r="O380" s="68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235" t="s">
        <v>330</v>
      </c>
      <c r="AF380" s="236"/>
      <c r="AG380" s="236"/>
      <c r="AH380" s="236"/>
      <c r="AI380" s="236"/>
      <c r="AJ380" s="236"/>
      <c r="AK380" s="236"/>
      <c r="AL380" s="236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</row>
    <row r="381" spans="1:60" ht="14.25" customHeight="1" x14ac:dyDescent="0.25">
      <c r="A381" s="64"/>
      <c r="B381" s="64"/>
      <c r="C381" s="237" t="s">
        <v>290</v>
      </c>
      <c r="D381" s="237"/>
      <c r="E381" s="237"/>
      <c r="F381" s="237"/>
      <c r="G381" s="237"/>
      <c r="H381" s="237"/>
      <c r="I381" s="237"/>
      <c r="J381" s="237"/>
      <c r="K381" s="238"/>
      <c r="L381" s="115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7"/>
      <c r="AD381" s="64"/>
      <c r="AE381" s="236"/>
      <c r="AF381" s="236"/>
      <c r="AG381" s="236"/>
      <c r="AH381" s="236"/>
      <c r="AI381" s="236"/>
      <c r="AJ381" s="236"/>
      <c r="AK381" s="236"/>
      <c r="AL381" s="236"/>
      <c r="AM381" s="115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7"/>
      <c r="BG381" s="64"/>
      <c r="BH381" s="64"/>
    </row>
    <row r="382" spans="1:60" ht="14.25" customHeight="1" x14ac:dyDescent="0.25">
      <c r="A382" s="64"/>
      <c r="B382" s="64"/>
      <c r="C382" s="237"/>
      <c r="D382" s="237"/>
      <c r="E382" s="237"/>
      <c r="F382" s="237"/>
      <c r="G382" s="237"/>
      <c r="H382" s="237"/>
      <c r="I382" s="237"/>
      <c r="J382" s="237"/>
      <c r="K382" s="238"/>
      <c r="L382" s="118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  <c r="AA382" s="119"/>
      <c r="AB382" s="119"/>
      <c r="AC382" s="120"/>
      <c r="AD382" s="64"/>
      <c r="AE382" s="236"/>
      <c r="AF382" s="236"/>
      <c r="AG382" s="236"/>
      <c r="AH382" s="236"/>
      <c r="AI382" s="236"/>
      <c r="AJ382" s="236"/>
      <c r="AK382" s="236"/>
      <c r="AL382" s="236"/>
      <c r="AM382" s="118"/>
      <c r="AN382" s="119"/>
      <c r="AO382" s="119"/>
      <c r="AP382" s="119"/>
      <c r="AQ382" s="119"/>
      <c r="AR382" s="119"/>
      <c r="AS382" s="119"/>
      <c r="AT382" s="119"/>
      <c r="AU382" s="119"/>
      <c r="AV382" s="119"/>
      <c r="AW382" s="119"/>
      <c r="AX382" s="119"/>
      <c r="AY382" s="119"/>
      <c r="AZ382" s="119"/>
      <c r="BA382" s="119"/>
      <c r="BB382" s="119"/>
      <c r="BC382" s="119"/>
      <c r="BD382" s="119"/>
      <c r="BE382" s="119"/>
      <c r="BF382" s="120"/>
      <c r="BG382" s="64"/>
      <c r="BH382" s="64"/>
    </row>
    <row r="383" spans="1:60" ht="14.25" customHeight="1" x14ac:dyDescent="0.25">
      <c r="A383" s="64"/>
      <c r="B383" s="64"/>
      <c r="C383" s="64"/>
      <c r="D383" s="64"/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226" t="s">
        <v>293</v>
      </c>
      <c r="AP383" s="227"/>
      <c r="AQ383" s="227"/>
      <c r="AR383" s="227"/>
      <c r="AS383" s="227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</row>
    <row r="384" spans="1:60" ht="14.25" customHeight="1" x14ac:dyDescent="0.25">
      <c r="A384" s="64"/>
      <c r="B384" s="64"/>
      <c r="C384" s="143" t="s">
        <v>291</v>
      </c>
      <c r="D384" s="143"/>
      <c r="E384" s="143"/>
      <c r="F384" s="200"/>
      <c r="G384" s="64"/>
      <c r="H384" s="64"/>
      <c r="I384" s="115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7"/>
      <c r="AD384" s="64"/>
      <c r="AE384" s="64"/>
      <c r="AF384" s="64"/>
      <c r="AG384" s="143" t="s">
        <v>292</v>
      </c>
      <c r="AH384" s="200"/>
      <c r="AI384" s="200"/>
      <c r="AJ384" s="218"/>
      <c r="AK384" s="122"/>
      <c r="AL384" s="123"/>
      <c r="AM384" s="123"/>
      <c r="AN384" s="124"/>
      <c r="AO384" s="228"/>
      <c r="AP384" s="228"/>
      <c r="AQ384" s="228"/>
      <c r="AR384" s="228"/>
      <c r="AS384" s="228"/>
      <c r="AT384" s="122"/>
      <c r="AU384" s="123"/>
      <c r="AV384" s="123"/>
      <c r="AW384" s="124"/>
      <c r="AX384" s="229" t="s">
        <v>294</v>
      </c>
      <c r="AY384" s="230"/>
      <c r="AZ384" s="230"/>
      <c r="BA384" s="230"/>
      <c r="BB384" s="231"/>
      <c r="BC384" s="122"/>
      <c r="BD384" s="123"/>
      <c r="BE384" s="123"/>
      <c r="BF384" s="124"/>
      <c r="BG384" s="64"/>
      <c r="BH384" s="64"/>
    </row>
    <row r="385" spans="1:60" ht="14.25" customHeight="1" x14ac:dyDescent="0.25">
      <c r="A385" s="64"/>
      <c r="B385" s="64"/>
      <c r="C385" s="143"/>
      <c r="D385" s="143"/>
      <c r="E385" s="143"/>
      <c r="F385" s="200"/>
      <c r="G385" s="64"/>
      <c r="H385" s="64"/>
      <c r="I385" s="118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  <c r="AA385" s="119"/>
      <c r="AB385" s="119"/>
      <c r="AC385" s="120"/>
      <c r="AD385" s="64"/>
      <c r="AE385" s="64"/>
      <c r="AF385" s="64"/>
      <c r="AG385" s="200"/>
      <c r="AH385" s="200"/>
      <c r="AI385" s="200"/>
      <c r="AJ385" s="218"/>
      <c r="AK385" s="125"/>
      <c r="AL385" s="126"/>
      <c r="AM385" s="126"/>
      <c r="AN385" s="127"/>
      <c r="AO385" s="228"/>
      <c r="AP385" s="228"/>
      <c r="AQ385" s="228"/>
      <c r="AR385" s="228"/>
      <c r="AS385" s="228"/>
      <c r="AT385" s="125"/>
      <c r="AU385" s="126"/>
      <c r="AV385" s="126"/>
      <c r="AW385" s="127"/>
      <c r="AX385" s="232"/>
      <c r="AY385" s="230"/>
      <c r="AZ385" s="230"/>
      <c r="BA385" s="230"/>
      <c r="BB385" s="231"/>
      <c r="BC385" s="125"/>
      <c r="BD385" s="126"/>
      <c r="BE385" s="126"/>
      <c r="BF385" s="127"/>
      <c r="BG385" s="64"/>
      <c r="BH385" s="64"/>
    </row>
    <row r="386" spans="1:60" ht="14.25" customHeight="1" x14ac:dyDescent="0.25">
      <c r="A386" s="64"/>
      <c r="B386" s="64"/>
      <c r="C386" s="64"/>
      <c r="D386" s="64"/>
      <c r="E386" s="64"/>
      <c r="F386" s="64"/>
      <c r="G386" s="64"/>
      <c r="H386" s="64"/>
      <c r="I386" s="64"/>
      <c r="J386" s="64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</row>
    <row r="387" spans="1:60" ht="14.25" customHeight="1" x14ac:dyDescent="0.25">
      <c r="A387" s="64"/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</row>
    <row r="388" spans="1:60" ht="14.25" customHeight="1" x14ac:dyDescent="0.25">
      <c r="A388" s="64"/>
      <c r="B388" s="64"/>
      <c r="C388" s="64"/>
      <c r="D388" s="64"/>
      <c r="E388" s="64"/>
      <c r="F388" s="64"/>
      <c r="G388" s="64"/>
      <c r="H388" s="64"/>
      <c r="I388" s="64"/>
      <c r="J388" s="64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</row>
    <row r="389" spans="1:60" ht="14.25" customHeight="1" x14ac:dyDescent="0.25">
      <c r="A389" s="64"/>
      <c r="B389" s="64"/>
      <c r="C389" s="64"/>
      <c r="D389" s="64"/>
      <c r="E389" s="64"/>
      <c r="F389" s="64"/>
      <c r="G389" s="63" t="s">
        <v>18</v>
      </c>
      <c r="H389" s="64"/>
      <c r="I389" s="64"/>
      <c r="J389" s="64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23" t="s">
        <v>19</v>
      </c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23" t="s">
        <v>20</v>
      </c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23" t="s">
        <v>21</v>
      </c>
      <c r="BA389" s="64"/>
      <c r="BB389" s="64"/>
      <c r="BC389" s="64"/>
      <c r="BD389" s="64"/>
      <c r="BE389" s="64"/>
      <c r="BF389" s="64"/>
      <c r="BG389" s="64"/>
      <c r="BH389" s="64"/>
    </row>
    <row r="390" spans="1:60" ht="14.25" customHeight="1" x14ac:dyDescent="0.25">
      <c r="A390" s="64"/>
      <c r="B390" s="64"/>
      <c r="C390" s="64"/>
      <c r="D390" s="64"/>
      <c r="E390" s="64"/>
      <c r="F390" s="64"/>
      <c r="G390" s="64"/>
      <c r="H390" s="64"/>
      <c r="I390" s="8"/>
      <c r="J390" s="64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8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8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8"/>
      <c r="BA390" s="64"/>
      <c r="BB390" s="64"/>
      <c r="BC390" s="64"/>
      <c r="BD390" s="64"/>
      <c r="BE390" s="64"/>
      <c r="BF390" s="64"/>
      <c r="BG390" s="64"/>
      <c r="BH390" s="64"/>
    </row>
    <row r="391" spans="1:60" ht="14.25" customHeight="1" x14ac:dyDescent="0.25">
      <c r="A391" s="64"/>
      <c r="B391" s="64"/>
      <c r="C391" s="64"/>
      <c r="D391" s="64"/>
      <c r="E391" s="64"/>
      <c r="F391" s="64"/>
      <c r="G391" s="64"/>
      <c r="H391" s="64"/>
      <c r="I391" s="64"/>
      <c r="J391" s="64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9" t="s">
        <v>22</v>
      </c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</row>
    <row r="392" spans="1:60" ht="14.25" customHeight="1" x14ac:dyDescent="0.25">
      <c r="A392" s="64"/>
      <c r="B392" s="64"/>
      <c r="C392" s="64"/>
      <c r="D392" s="64"/>
      <c r="E392" s="64"/>
      <c r="F392" s="64"/>
      <c r="G392" s="64"/>
      <c r="H392" s="64"/>
      <c r="I392" s="64"/>
      <c r="J392" s="64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</row>
    <row r="393" spans="1:60" ht="14.25" customHeight="1" x14ac:dyDescent="0.25">
      <c r="A393" s="64"/>
      <c r="B393" s="64"/>
      <c r="C393" s="64"/>
      <c r="D393" s="64"/>
      <c r="E393" s="64"/>
      <c r="F393" s="64"/>
      <c r="G393" s="64"/>
      <c r="H393" s="64"/>
      <c r="I393" s="64"/>
      <c r="J393" s="64"/>
      <c r="K393" s="64"/>
      <c r="L393" s="64"/>
      <c r="M393" s="69"/>
      <c r="N393" s="69"/>
      <c r="O393" s="69"/>
      <c r="P393" s="69"/>
      <c r="Q393" s="69"/>
      <c r="R393" s="69"/>
      <c r="S393" s="69"/>
      <c r="T393" s="69"/>
      <c r="U393" s="69"/>
      <c r="V393" s="69"/>
      <c r="W393" s="69"/>
      <c r="X393" s="69"/>
      <c r="Y393" s="69"/>
      <c r="Z393" s="69"/>
      <c r="AA393" s="69"/>
      <c r="AB393" s="69"/>
      <c r="AC393" s="69"/>
      <c r="AD393" s="69"/>
      <c r="AE393" s="69"/>
      <c r="AF393" s="69"/>
      <c r="AG393" s="69"/>
      <c r="AH393" s="69"/>
      <c r="AI393" s="69"/>
      <c r="AJ393" s="69"/>
      <c r="AK393" s="69"/>
      <c r="AL393" s="69"/>
      <c r="AM393" s="69"/>
      <c r="AN393" s="69"/>
      <c r="AO393" s="69"/>
      <c r="AP393" s="69"/>
      <c r="AQ393" s="69"/>
      <c r="AR393" s="69"/>
      <c r="AS393" s="69"/>
      <c r="AT393" s="69"/>
      <c r="AU393" s="69"/>
      <c r="AV393" s="69"/>
      <c r="AW393" s="69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</row>
    <row r="394" spans="1:60" ht="14.25" customHeight="1" x14ac:dyDescent="0.25">
      <c r="A394" s="64"/>
      <c r="B394" s="64"/>
      <c r="C394" s="160" t="s">
        <v>79</v>
      </c>
      <c r="D394" s="160"/>
      <c r="E394" s="160"/>
      <c r="F394" s="160"/>
      <c r="G394" s="160"/>
      <c r="H394" s="160"/>
      <c r="I394" s="160"/>
      <c r="J394" s="160"/>
      <c r="K394" s="160"/>
      <c r="L394" s="160"/>
      <c r="M394" s="160"/>
      <c r="N394" s="180"/>
      <c r="O394" s="218"/>
      <c r="P394" s="115"/>
      <c r="Q394" s="212"/>
      <c r="R394" s="212"/>
      <c r="S394" s="212"/>
      <c r="T394" s="213"/>
      <c r="U394" s="9"/>
      <c r="V394" s="146" t="s">
        <v>80</v>
      </c>
      <c r="W394" s="146"/>
      <c r="X394" s="146"/>
      <c r="Y394" s="146"/>
      <c r="Z394" s="146"/>
      <c r="AA394" s="146"/>
      <c r="AB394" s="146"/>
      <c r="AC394" s="220"/>
      <c r="AD394" s="115"/>
      <c r="AE394" s="116"/>
      <c r="AF394" s="116"/>
      <c r="AG394" s="116"/>
      <c r="AH394" s="116"/>
      <c r="AI394" s="116"/>
      <c r="AJ394" s="116"/>
      <c r="AK394" s="117"/>
      <c r="AL394" s="64"/>
      <c r="AM394" s="64"/>
      <c r="AN394" s="64"/>
      <c r="AO394" s="64"/>
      <c r="AP394" s="64"/>
      <c r="AQ394" s="64"/>
      <c r="AR394" s="221" t="s">
        <v>81</v>
      </c>
      <c r="AS394" s="221"/>
      <c r="AT394" s="221"/>
      <c r="AU394" s="221"/>
      <c r="AV394" s="221"/>
      <c r="AW394" s="64"/>
      <c r="AX394" s="64"/>
      <c r="AY394" s="201"/>
      <c r="AZ394" s="202"/>
      <c r="BA394" s="202"/>
      <c r="BB394" s="202"/>
      <c r="BC394" s="202"/>
      <c r="BD394" s="202"/>
      <c r="BE394" s="202"/>
      <c r="BF394" s="203"/>
      <c r="BG394" s="64"/>
      <c r="BH394" s="64"/>
    </row>
    <row r="395" spans="1:60" ht="14.25" customHeight="1" x14ac:dyDescent="0.25">
      <c r="A395" s="64"/>
      <c r="B395" s="64"/>
      <c r="C395" s="160"/>
      <c r="D395" s="160"/>
      <c r="E395" s="160"/>
      <c r="F395" s="160"/>
      <c r="G395" s="160"/>
      <c r="H395" s="160"/>
      <c r="I395" s="160"/>
      <c r="J395" s="160"/>
      <c r="K395" s="160"/>
      <c r="L395" s="160"/>
      <c r="M395" s="160"/>
      <c r="N395" s="180"/>
      <c r="O395" s="218"/>
      <c r="P395" s="214"/>
      <c r="Q395" s="215"/>
      <c r="R395" s="215"/>
      <c r="S395" s="215"/>
      <c r="T395" s="216"/>
      <c r="U395" s="10"/>
      <c r="V395" s="146"/>
      <c r="W395" s="146"/>
      <c r="X395" s="146"/>
      <c r="Y395" s="146"/>
      <c r="Z395" s="146"/>
      <c r="AA395" s="146"/>
      <c r="AB395" s="146"/>
      <c r="AC395" s="220"/>
      <c r="AD395" s="118"/>
      <c r="AE395" s="119"/>
      <c r="AF395" s="119"/>
      <c r="AG395" s="119"/>
      <c r="AH395" s="119"/>
      <c r="AI395" s="119"/>
      <c r="AJ395" s="119"/>
      <c r="AK395" s="120"/>
      <c r="AL395" s="10"/>
      <c r="AM395" s="10"/>
      <c r="AN395" s="10"/>
      <c r="AO395" s="10"/>
      <c r="AP395" s="10"/>
      <c r="AQ395" s="10"/>
      <c r="AR395" s="221"/>
      <c r="AS395" s="221"/>
      <c r="AT395" s="221"/>
      <c r="AU395" s="221"/>
      <c r="AV395" s="221"/>
      <c r="AW395" s="10"/>
      <c r="AX395" s="69"/>
      <c r="AY395" s="204"/>
      <c r="AZ395" s="205"/>
      <c r="BA395" s="205"/>
      <c r="BB395" s="205"/>
      <c r="BC395" s="205"/>
      <c r="BD395" s="205"/>
      <c r="BE395" s="205"/>
      <c r="BF395" s="206"/>
      <c r="BG395" s="64"/>
      <c r="BH395" s="64"/>
    </row>
    <row r="396" spans="1:60" ht="14.25" customHeight="1" x14ac:dyDescent="0.25">
      <c r="A396" s="64"/>
      <c r="B396" s="64"/>
      <c r="C396" s="64"/>
      <c r="D396" s="64"/>
      <c r="E396" s="64"/>
      <c r="F396" s="64"/>
      <c r="G396" s="64"/>
      <c r="H396" s="64"/>
      <c r="I396" s="64"/>
      <c r="J396" s="64"/>
      <c r="K396" s="64"/>
      <c r="L396" s="69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</row>
    <row r="397" spans="1:60" ht="14.25" customHeight="1" x14ac:dyDescent="0.25">
      <c r="A397" s="64"/>
      <c r="B397" s="64"/>
      <c r="C397" s="64"/>
      <c r="D397" s="64"/>
      <c r="E397" s="64"/>
      <c r="F397" s="64"/>
      <c r="G397" s="64"/>
      <c r="H397" s="64"/>
      <c r="I397" s="64"/>
      <c r="J397" s="64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</row>
    <row r="398" spans="1:60" ht="14.25" customHeight="1" x14ac:dyDescent="0.25">
      <c r="A398" s="64"/>
      <c r="B398" s="64"/>
      <c r="C398" s="143" t="s">
        <v>82</v>
      </c>
      <c r="D398" s="143"/>
      <c r="E398" s="143"/>
      <c r="F398" s="143"/>
      <c r="G398" s="211"/>
      <c r="H398" s="200"/>
      <c r="I398" s="218"/>
      <c r="J398" s="115"/>
      <c r="K398" s="212"/>
      <c r="L398" s="212"/>
      <c r="M398" s="212"/>
      <c r="N398" s="212"/>
      <c r="O398" s="212"/>
      <c r="P398" s="212"/>
      <c r="Q398" s="212"/>
      <c r="R398" s="212"/>
      <c r="S398" s="212"/>
      <c r="T398" s="212"/>
      <c r="U398" s="212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12"/>
      <c r="AF398" s="212"/>
      <c r="AG398" s="212"/>
      <c r="AH398" s="212"/>
      <c r="AI398" s="212"/>
      <c r="AJ398" s="212"/>
      <c r="AK398" s="212"/>
      <c r="AL398" s="212"/>
      <c r="AM398" s="212"/>
      <c r="AN398" s="213"/>
      <c r="AO398" s="64"/>
      <c r="AP398" s="163" t="s">
        <v>83</v>
      </c>
      <c r="AQ398" s="163"/>
      <c r="AR398" s="163"/>
      <c r="AS398" s="163"/>
      <c r="AT398" s="163"/>
      <c r="AU398" s="163"/>
      <c r="AV398" s="163"/>
      <c r="AW398" s="200"/>
      <c r="AX398" s="218"/>
      <c r="AY398" s="115"/>
      <c r="AZ398" s="116"/>
      <c r="BA398" s="116"/>
      <c r="BB398" s="116"/>
      <c r="BC398" s="116"/>
      <c r="BD398" s="116"/>
      <c r="BE398" s="116"/>
      <c r="BF398" s="117"/>
      <c r="BG398" s="64"/>
      <c r="BH398" s="64"/>
    </row>
    <row r="399" spans="1:60" ht="14.25" customHeight="1" x14ac:dyDescent="0.25">
      <c r="A399" s="69"/>
      <c r="B399" s="69"/>
      <c r="C399" s="143"/>
      <c r="D399" s="143"/>
      <c r="E399" s="143"/>
      <c r="F399" s="143"/>
      <c r="G399" s="211"/>
      <c r="H399" s="200"/>
      <c r="I399" s="218"/>
      <c r="J399" s="214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215"/>
      <c r="Z399" s="215"/>
      <c r="AA399" s="215"/>
      <c r="AB399" s="215"/>
      <c r="AC399" s="215"/>
      <c r="AD399" s="215"/>
      <c r="AE399" s="215"/>
      <c r="AF399" s="215"/>
      <c r="AG399" s="215"/>
      <c r="AH399" s="215"/>
      <c r="AI399" s="215"/>
      <c r="AJ399" s="215"/>
      <c r="AK399" s="215"/>
      <c r="AL399" s="215"/>
      <c r="AM399" s="215"/>
      <c r="AN399" s="216"/>
      <c r="AO399" s="64"/>
      <c r="AP399" s="163"/>
      <c r="AQ399" s="163"/>
      <c r="AR399" s="163"/>
      <c r="AS399" s="163"/>
      <c r="AT399" s="163"/>
      <c r="AU399" s="163"/>
      <c r="AV399" s="163"/>
      <c r="AW399" s="200"/>
      <c r="AX399" s="218"/>
      <c r="AY399" s="118"/>
      <c r="AZ399" s="119"/>
      <c r="BA399" s="119"/>
      <c r="BB399" s="119"/>
      <c r="BC399" s="119"/>
      <c r="BD399" s="119"/>
      <c r="BE399" s="119"/>
      <c r="BF399" s="120"/>
      <c r="BG399" s="69"/>
      <c r="BH399" s="69"/>
    </row>
    <row r="400" spans="1:60" ht="14.25" customHeight="1" x14ac:dyDescent="0.25">
      <c r="A400" s="69"/>
      <c r="B400" s="69"/>
      <c r="C400" s="69"/>
      <c r="D400" s="69"/>
      <c r="E400" s="69"/>
      <c r="F400" s="69"/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69"/>
      <c r="R400" s="69"/>
      <c r="S400" s="69"/>
      <c r="T400" s="69"/>
      <c r="U400" s="69"/>
      <c r="V400" s="69"/>
      <c r="W400" s="69"/>
      <c r="X400" s="69"/>
      <c r="Y400" s="69"/>
      <c r="Z400" s="69"/>
      <c r="AA400" s="69"/>
      <c r="AB400" s="69"/>
      <c r="AC400" s="69"/>
      <c r="AD400" s="69"/>
      <c r="AE400" s="69"/>
      <c r="AF400" s="69"/>
      <c r="AG400" s="69"/>
      <c r="AH400" s="69"/>
      <c r="AI400" s="69"/>
      <c r="AJ400" s="69"/>
      <c r="AK400" s="69"/>
      <c r="AL400" s="69"/>
      <c r="AM400" s="69"/>
      <c r="AN400" s="69"/>
      <c r="AO400" s="69"/>
      <c r="AP400" s="69"/>
      <c r="AQ400" s="69"/>
      <c r="AR400" s="69"/>
      <c r="AS400" s="69"/>
      <c r="AT400" s="69"/>
      <c r="AU400" s="69"/>
      <c r="AV400" s="69"/>
      <c r="AW400" s="69"/>
      <c r="AX400" s="69"/>
      <c r="AY400" s="69"/>
      <c r="AZ400" s="69"/>
      <c r="BA400" s="69"/>
      <c r="BB400" s="69"/>
      <c r="BC400" s="69"/>
      <c r="BD400" s="69"/>
      <c r="BE400" s="69"/>
      <c r="BF400" s="69"/>
      <c r="BG400" s="69"/>
      <c r="BH400" s="69"/>
    </row>
    <row r="401" spans="1:60" ht="14.25" customHeight="1" x14ac:dyDescent="0.25">
      <c r="A401" s="69"/>
      <c r="B401" s="69"/>
      <c r="C401" s="160" t="s">
        <v>84</v>
      </c>
      <c r="D401" s="160"/>
      <c r="E401" s="160"/>
      <c r="F401" s="160"/>
      <c r="G401" s="160"/>
      <c r="H401" s="160"/>
      <c r="I401" s="160"/>
      <c r="J401" s="160"/>
      <c r="K401" s="160"/>
      <c r="L401" s="160"/>
      <c r="M401" s="160"/>
      <c r="N401" s="160"/>
      <c r="O401" s="160"/>
      <c r="P401" s="160"/>
      <c r="Q401" s="160"/>
      <c r="R401" s="160"/>
      <c r="S401" s="160"/>
      <c r="T401" s="160"/>
      <c r="U401" s="160"/>
      <c r="V401" s="160"/>
      <c r="W401" s="180"/>
      <c r="X401" s="222"/>
      <c r="Y401" s="223"/>
      <c r="Z401" s="94"/>
      <c r="AA401" s="212"/>
      <c r="AB401" s="212"/>
      <c r="AC401" s="212"/>
      <c r="AD401" s="212"/>
      <c r="AE401" s="212"/>
      <c r="AF401" s="212"/>
      <c r="AG401" s="212"/>
      <c r="AH401" s="212"/>
      <c r="AI401" s="212"/>
      <c r="AJ401" s="212"/>
      <c r="AK401" s="212"/>
      <c r="AL401" s="212"/>
      <c r="AM401" s="212"/>
      <c r="AN401" s="212"/>
      <c r="AO401" s="212"/>
      <c r="AP401" s="212"/>
      <c r="AQ401" s="212"/>
      <c r="AR401" s="212"/>
      <c r="AS401" s="212"/>
      <c r="AT401" s="212"/>
      <c r="AU401" s="212"/>
      <c r="AV401" s="212"/>
      <c r="AW401" s="212"/>
      <c r="AX401" s="212"/>
      <c r="AY401" s="212"/>
      <c r="AZ401" s="212"/>
      <c r="BA401" s="212"/>
      <c r="BB401" s="212"/>
      <c r="BC401" s="212"/>
      <c r="BD401" s="212"/>
      <c r="BE401" s="212"/>
      <c r="BF401" s="212"/>
      <c r="BG401" s="26"/>
      <c r="BH401" s="25"/>
    </row>
    <row r="402" spans="1:60" ht="14.25" customHeight="1" x14ac:dyDescent="0.25">
      <c r="A402" s="69"/>
      <c r="B402" s="69"/>
      <c r="C402" s="160"/>
      <c r="D402" s="160"/>
      <c r="E402" s="160"/>
      <c r="F402" s="160"/>
      <c r="G402" s="160"/>
      <c r="H402" s="160"/>
      <c r="I402" s="160"/>
      <c r="J402" s="160"/>
      <c r="K402" s="160"/>
      <c r="L402" s="160"/>
      <c r="M402" s="160"/>
      <c r="N402" s="160"/>
      <c r="O402" s="160"/>
      <c r="P402" s="160"/>
      <c r="Q402" s="160"/>
      <c r="R402" s="160"/>
      <c r="S402" s="160"/>
      <c r="T402" s="160"/>
      <c r="U402" s="160"/>
      <c r="V402" s="160"/>
      <c r="W402" s="180"/>
      <c r="X402" s="222"/>
      <c r="Y402" s="223"/>
      <c r="Z402" s="214"/>
      <c r="AA402" s="215"/>
      <c r="AB402" s="215"/>
      <c r="AC402" s="215"/>
      <c r="AD402" s="215"/>
      <c r="AE402" s="215"/>
      <c r="AF402" s="215"/>
      <c r="AG402" s="215"/>
      <c r="AH402" s="215"/>
      <c r="AI402" s="215"/>
      <c r="AJ402" s="215"/>
      <c r="AK402" s="215"/>
      <c r="AL402" s="215"/>
      <c r="AM402" s="215"/>
      <c r="AN402" s="215"/>
      <c r="AO402" s="215"/>
      <c r="AP402" s="215"/>
      <c r="AQ402" s="215"/>
      <c r="AR402" s="215"/>
      <c r="AS402" s="215"/>
      <c r="AT402" s="215"/>
      <c r="AU402" s="215"/>
      <c r="AV402" s="215"/>
      <c r="AW402" s="215"/>
      <c r="AX402" s="215"/>
      <c r="AY402" s="215"/>
      <c r="AZ402" s="215"/>
      <c r="BA402" s="215"/>
      <c r="BB402" s="215"/>
      <c r="BC402" s="215"/>
      <c r="BD402" s="215"/>
      <c r="BE402" s="215"/>
      <c r="BF402" s="215"/>
      <c r="BG402" s="26"/>
      <c r="BH402" s="25"/>
    </row>
    <row r="403" spans="1:60" ht="14.25" customHeight="1" x14ac:dyDescent="0.25">
      <c r="A403" s="69"/>
      <c r="B403" s="69"/>
      <c r="C403" s="63"/>
      <c r="D403" s="63"/>
      <c r="E403" s="63"/>
      <c r="F403" s="63"/>
      <c r="G403" s="63"/>
      <c r="H403" s="6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69"/>
      <c r="AE403" s="69"/>
      <c r="AF403" s="63"/>
      <c r="AG403" s="63"/>
      <c r="AH403" s="63"/>
      <c r="AI403" s="63"/>
      <c r="AJ403" s="63"/>
      <c r="AK403" s="63"/>
      <c r="AL403" s="25"/>
      <c r="AM403" s="25"/>
      <c r="AN403" s="25"/>
      <c r="AO403" s="25"/>
      <c r="AP403" s="25"/>
      <c r="AQ403" s="69"/>
      <c r="AR403" s="66"/>
      <c r="AS403" s="66"/>
      <c r="AT403" s="66"/>
      <c r="AU403" s="66"/>
      <c r="AV403" s="66"/>
      <c r="AW403" s="23"/>
      <c r="AX403" s="23"/>
      <c r="AY403" s="23"/>
      <c r="AZ403" s="23"/>
      <c r="BA403" s="23"/>
      <c r="BB403" s="23"/>
      <c r="BC403" s="23"/>
      <c r="BD403" s="23"/>
      <c r="BE403" s="23"/>
      <c r="BF403" s="23"/>
      <c r="BG403" s="69"/>
      <c r="BH403" s="69"/>
    </row>
    <row r="404" spans="1:60" ht="14.25" customHeight="1" x14ac:dyDescent="0.25">
      <c r="A404" s="69"/>
      <c r="B404" s="69"/>
      <c r="C404" s="160" t="s">
        <v>92</v>
      </c>
      <c r="D404" s="160"/>
      <c r="E404" s="160"/>
      <c r="F404" s="160"/>
      <c r="G404" s="160"/>
      <c r="H404" s="160"/>
      <c r="I404" s="160"/>
      <c r="J404" s="160"/>
      <c r="K404" s="160"/>
      <c r="L404" s="160"/>
      <c r="M404" s="160"/>
      <c r="N404" s="160"/>
      <c r="O404" s="160"/>
      <c r="P404" s="160"/>
      <c r="Q404" s="160"/>
      <c r="R404" s="160"/>
      <c r="S404" s="160"/>
      <c r="T404" s="160"/>
      <c r="U404" s="160"/>
      <c r="V404" s="160"/>
      <c r="W404" s="180"/>
      <c r="X404" s="222"/>
      <c r="Y404" s="24"/>
      <c r="Z404" s="94"/>
      <c r="AA404" s="212"/>
      <c r="AB404" s="212"/>
      <c r="AC404" s="212"/>
      <c r="AD404" s="212"/>
      <c r="AE404" s="212"/>
      <c r="AF404" s="212"/>
      <c r="AG404" s="212"/>
      <c r="AH404" s="212"/>
      <c r="AI404" s="212"/>
      <c r="AJ404" s="212"/>
      <c r="AK404" s="212"/>
      <c r="AL404" s="212"/>
      <c r="AM404" s="212"/>
      <c r="AN404" s="212"/>
      <c r="AO404" s="212"/>
      <c r="AP404" s="212"/>
      <c r="AQ404" s="212"/>
      <c r="AR404" s="212"/>
      <c r="AS404" s="212"/>
      <c r="AT404" s="212"/>
      <c r="AU404" s="212"/>
      <c r="AV404" s="212"/>
      <c r="AW404" s="212"/>
      <c r="AX404" s="212"/>
      <c r="AY404" s="212"/>
      <c r="AZ404" s="212"/>
      <c r="BA404" s="212"/>
      <c r="BB404" s="212"/>
      <c r="BC404" s="212"/>
      <c r="BD404" s="212"/>
      <c r="BE404" s="212"/>
      <c r="BF404" s="213"/>
      <c r="BG404" s="26"/>
      <c r="BH404" s="25"/>
    </row>
    <row r="405" spans="1:60" ht="14.25" customHeight="1" x14ac:dyDescent="0.25">
      <c r="A405" s="69"/>
      <c r="B405" s="69"/>
      <c r="C405" s="160"/>
      <c r="D405" s="160"/>
      <c r="E405" s="160"/>
      <c r="F405" s="160"/>
      <c r="G405" s="160"/>
      <c r="H405" s="160"/>
      <c r="I405" s="160"/>
      <c r="J405" s="160"/>
      <c r="K405" s="160"/>
      <c r="L405" s="160"/>
      <c r="M405" s="160"/>
      <c r="N405" s="160"/>
      <c r="O405" s="160"/>
      <c r="P405" s="160"/>
      <c r="Q405" s="160"/>
      <c r="R405" s="160"/>
      <c r="S405" s="160"/>
      <c r="T405" s="160"/>
      <c r="U405" s="160"/>
      <c r="V405" s="160"/>
      <c r="W405" s="180"/>
      <c r="X405" s="222"/>
      <c r="Y405" s="24"/>
      <c r="Z405" s="214"/>
      <c r="AA405" s="215"/>
      <c r="AB405" s="215"/>
      <c r="AC405" s="215"/>
      <c r="AD405" s="215"/>
      <c r="AE405" s="215"/>
      <c r="AF405" s="215"/>
      <c r="AG405" s="215"/>
      <c r="AH405" s="215"/>
      <c r="AI405" s="215"/>
      <c r="AJ405" s="215"/>
      <c r="AK405" s="215"/>
      <c r="AL405" s="215"/>
      <c r="AM405" s="215"/>
      <c r="AN405" s="215"/>
      <c r="AO405" s="215"/>
      <c r="AP405" s="215"/>
      <c r="AQ405" s="215"/>
      <c r="AR405" s="215"/>
      <c r="AS405" s="215"/>
      <c r="AT405" s="215"/>
      <c r="AU405" s="215"/>
      <c r="AV405" s="215"/>
      <c r="AW405" s="215"/>
      <c r="AX405" s="215"/>
      <c r="AY405" s="215"/>
      <c r="AZ405" s="215"/>
      <c r="BA405" s="215"/>
      <c r="BB405" s="215"/>
      <c r="BC405" s="215"/>
      <c r="BD405" s="215"/>
      <c r="BE405" s="215"/>
      <c r="BF405" s="216"/>
      <c r="BG405" s="26"/>
      <c r="BH405" s="25"/>
    </row>
    <row r="406" spans="1:60" ht="14.25" customHeight="1" x14ac:dyDescent="0.25">
      <c r="A406" s="69"/>
      <c r="B406" s="69"/>
      <c r="C406" s="63"/>
      <c r="D406" s="63"/>
      <c r="E406" s="63"/>
      <c r="F406" s="63"/>
      <c r="G406" s="63"/>
      <c r="H406" s="69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69"/>
      <c r="AE406" s="69"/>
      <c r="AF406" s="63"/>
      <c r="AG406" s="63"/>
      <c r="AH406" s="63"/>
      <c r="AI406" s="63"/>
      <c r="AJ406" s="63"/>
      <c r="AK406" s="6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  <c r="BC406" s="23"/>
      <c r="BD406" s="23"/>
      <c r="BE406" s="23"/>
      <c r="BF406" s="23"/>
      <c r="BG406" s="69"/>
      <c r="BH406" s="69"/>
    </row>
    <row r="407" spans="1:60" ht="14.25" customHeight="1" x14ac:dyDescent="0.25">
      <c r="A407" s="69"/>
      <c r="B407" s="69"/>
      <c r="C407" s="63"/>
      <c r="D407" s="63"/>
      <c r="E407" s="63"/>
      <c r="F407" s="63"/>
      <c r="G407" s="63"/>
      <c r="H407" s="69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69"/>
      <c r="AE407" s="69"/>
      <c r="AF407" s="63"/>
      <c r="AG407" s="63"/>
      <c r="AH407" s="63"/>
      <c r="AI407" s="63"/>
      <c r="AJ407" s="63"/>
      <c r="AK407" s="6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  <c r="BC407" s="23"/>
      <c r="BD407" s="23"/>
      <c r="BE407" s="23"/>
      <c r="BF407" s="23"/>
      <c r="BG407" s="69"/>
      <c r="BH407" s="69"/>
    </row>
    <row r="408" spans="1:60" ht="14.25" customHeight="1" x14ac:dyDescent="0.25">
      <c r="A408" s="64"/>
      <c r="B408" s="64"/>
      <c r="C408" s="64"/>
      <c r="D408" s="64"/>
      <c r="E408" s="64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  <c r="AF408" s="64"/>
      <c r="AG408" s="64"/>
      <c r="AH408" s="64"/>
      <c r="AI408" s="64"/>
      <c r="AJ408" s="64"/>
      <c r="AK408" s="64"/>
      <c r="AL408" s="64"/>
      <c r="AM408" s="64"/>
      <c r="AN408" s="64"/>
      <c r="AO408" s="22"/>
      <c r="AP408" s="64"/>
      <c r="AQ408" s="64"/>
      <c r="AR408" s="64"/>
      <c r="AS408" s="64"/>
      <c r="AT408" s="64"/>
      <c r="AU408" s="64"/>
      <c r="AV408" s="64"/>
      <c r="AW408" s="67"/>
      <c r="AX408" s="12"/>
      <c r="AY408" s="64"/>
      <c r="AZ408" s="64"/>
      <c r="BA408" s="64"/>
      <c r="BB408" s="64"/>
      <c r="BC408" s="64"/>
      <c r="BD408" s="64"/>
      <c r="BE408" s="64"/>
      <c r="BF408" s="64"/>
      <c r="BG408" s="64"/>
      <c r="BH408" s="64"/>
    </row>
    <row r="409" spans="1:60" ht="14.25" customHeight="1" x14ac:dyDescent="0.25">
      <c r="A409" s="64"/>
      <c r="B409" s="64"/>
      <c r="C409" s="64"/>
      <c r="D409" s="64"/>
      <c r="E409" s="64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  <c r="AF409" s="64"/>
      <c r="AG409" s="64"/>
      <c r="AH409" s="64"/>
      <c r="AI409" s="64"/>
      <c r="AJ409" s="64"/>
      <c r="AK409" s="64"/>
      <c r="AL409" s="64"/>
      <c r="AM409" s="64"/>
      <c r="AN409" s="64"/>
      <c r="AO409" s="22"/>
      <c r="AP409" s="64"/>
      <c r="AQ409" s="64"/>
      <c r="AR409" s="64"/>
      <c r="AS409" s="64"/>
      <c r="AT409" s="64"/>
      <c r="AU409" s="64"/>
      <c r="AV409" s="64"/>
      <c r="AW409" s="67"/>
      <c r="AX409" s="12"/>
      <c r="AY409" s="64"/>
      <c r="AZ409" s="64"/>
      <c r="BA409" s="64"/>
      <c r="BB409" s="64"/>
      <c r="BC409" s="64"/>
      <c r="BD409" s="64"/>
      <c r="BE409" s="64"/>
      <c r="BF409" s="64"/>
      <c r="BG409" s="64"/>
      <c r="BH409" s="64"/>
    </row>
    <row r="410" spans="1:60" ht="14.25" customHeight="1" x14ac:dyDescent="0.25">
      <c r="A410" s="64"/>
      <c r="B410" s="64"/>
      <c r="C410" s="69"/>
      <c r="D410" s="69"/>
      <c r="E410" s="69"/>
      <c r="F410" s="69"/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69"/>
      <c r="R410" s="69"/>
      <c r="S410" s="69"/>
      <c r="T410" s="69"/>
      <c r="U410" s="69"/>
      <c r="V410" s="69"/>
      <c r="W410" s="69"/>
      <c r="X410" s="69"/>
      <c r="Y410" s="69"/>
      <c r="Z410" s="69"/>
      <c r="AA410" s="69"/>
      <c r="AB410" s="69"/>
      <c r="AC410" s="69"/>
      <c r="AD410" s="69"/>
      <c r="AE410" s="69"/>
      <c r="AF410" s="69"/>
      <c r="AG410" s="69"/>
      <c r="AH410" s="69"/>
      <c r="AI410" s="69"/>
      <c r="AJ410" s="69"/>
      <c r="AK410" s="69"/>
      <c r="AL410" s="69"/>
      <c r="AM410" s="69"/>
      <c r="AN410" s="69"/>
      <c r="AO410" s="69"/>
      <c r="AP410" s="69"/>
      <c r="AQ410" s="69"/>
      <c r="AR410" s="69"/>
      <c r="AS410" s="69"/>
      <c r="AT410" s="69"/>
      <c r="AU410" s="69"/>
      <c r="AV410" s="69"/>
      <c r="AW410" s="69"/>
      <c r="AX410" s="69"/>
      <c r="AY410" s="69"/>
      <c r="AZ410" s="69"/>
      <c r="BA410" s="69"/>
      <c r="BB410" s="69"/>
      <c r="BC410" s="69"/>
      <c r="BD410" s="69"/>
      <c r="BE410" s="69"/>
      <c r="BF410" s="69"/>
      <c r="BG410" s="64"/>
      <c r="BH410" s="64"/>
    </row>
    <row r="411" spans="1:60" ht="14.25" customHeight="1" x14ac:dyDescent="0.25">
      <c r="A411" s="64"/>
      <c r="B411" s="64"/>
      <c r="C411" s="69"/>
      <c r="D411" s="69"/>
      <c r="E411" s="69"/>
      <c r="F411" s="69"/>
      <c r="G411" s="69"/>
      <c r="H411" s="69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69"/>
      <c r="AQ411" s="65"/>
      <c r="AR411" s="65"/>
      <c r="AS411" s="65"/>
      <c r="AT411" s="65"/>
      <c r="AU411" s="65"/>
      <c r="AV411" s="65"/>
      <c r="AW411" s="65"/>
      <c r="AX411" s="13"/>
      <c r="AY411" s="22"/>
      <c r="AZ411" s="22"/>
      <c r="BA411" s="22"/>
      <c r="BB411" s="22"/>
      <c r="BC411" s="22"/>
      <c r="BD411" s="22"/>
      <c r="BE411" s="22"/>
      <c r="BF411" s="22"/>
      <c r="BG411" s="64"/>
      <c r="BH411" s="64"/>
    </row>
    <row r="412" spans="1:60" ht="14.25" customHeight="1" x14ac:dyDescent="0.25">
      <c r="A412" s="64"/>
      <c r="B412" s="64"/>
      <c r="C412" s="160" t="s">
        <v>85</v>
      </c>
      <c r="D412" s="224"/>
      <c r="E412" s="224"/>
      <c r="F412" s="224"/>
      <c r="G412" s="224"/>
      <c r="H412" s="224"/>
      <c r="I412" s="225"/>
      <c r="J412" s="115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7"/>
      <c r="BG412" s="64"/>
      <c r="BH412" s="64"/>
    </row>
    <row r="413" spans="1:60" ht="14.25" customHeight="1" x14ac:dyDescent="0.25">
      <c r="A413" s="64"/>
      <c r="B413" s="64"/>
      <c r="C413" s="224"/>
      <c r="D413" s="224"/>
      <c r="E413" s="224"/>
      <c r="F413" s="224"/>
      <c r="G413" s="224"/>
      <c r="H413" s="224"/>
      <c r="I413" s="225"/>
      <c r="J413" s="118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  <c r="AA413" s="119"/>
      <c r="AB413" s="119"/>
      <c r="AC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9"/>
      <c r="AT413" s="119"/>
      <c r="AU413" s="119"/>
      <c r="AV413" s="119"/>
      <c r="AW413" s="119"/>
      <c r="AX413" s="119"/>
      <c r="AY413" s="119"/>
      <c r="AZ413" s="119"/>
      <c r="BA413" s="119"/>
      <c r="BB413" s="119"/>
      <c r="BC413" s="119"/>
      <c r="BD413" s="119"/>
      <c r="BE413" s="119"/>
      <c r="BF413" s="120"/>
      <c r="BG413" s="64"/>
      <c r="BH413" s="64"/>
    </row>
    <row r="414" spans="1:60" ht="14.25" customHeight="1" x14ac:dyDescent="0.25">
      <c r="A414" s="64"/>
      <c r="B414" s="6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5"/>
      <c r="P414" s="69"/>
      <c r="Q414" s="69"/>
      <c r="R414" s="69"/>
      <c r="S414" s="69"/>
      <c r="T414" s="69"/>
      <c r="U414" s="69"/>
      <c r="V414" s="69"/>
      <c r="W414" s="69"/>
      <c r="X414" s="69"/>
      <c r="Y414" s="69"/>
      <c r="Z414" s="69"/>
      <c r="AA414" s="69"/>
      <c r="AB414" s="69"/>
      <c r="AC414" s="69"/>
      <c r="AD414" s="69"/>
      <c r="AE414" s="12"/>
      <c r="AF414" s="16"/>
      <c r="AG414" s="16"/>
      <c r="AH414" s="16"/>
      <c r="AI414" s="16"/>
      <c r="AJ414" s="16"/>
      <c r="AK414" s="16"/>
      <c r="AL414" s="16"/>
      <c r="AM414" s="69"/>
      <c r="AN414" s="69"/>
      <c r="AO414" s="69"/>
      <c r="AP414" s="69"/>
      <c r="AQ414" s="69"/>
      <c r="AR414" s="69"/>
      <c r="AS414" s="69"/>
      <c r="AT414" s="69"/>
      <c r="AU414" s="69"/>
      <c r="AV414" s="69"/>
      <c r="AW414" s="69"/>
      <c r="AX414" s="69"/>
      <c r="AY414" s="69"/>
      <c r="AZ414" s="69"/>
      <c r="BA414" s="69"/>
      <c r="BB414" s="69"/>
      <c r="BC414" s="69"/>
      <c r="BD414" s="69"/>
      <c r="BE414" s="69"/>
      <c r="BF414" s="69"/>
      <c r="BG414" s="64"/>
      <c r="BH414" s="64"/>
    </row>
    <row r="415" spans="1:60" ht="14.25" customHeight="1" x14ac:dyDescent="0.25">
      <c r="A415" s="64"/>
      <c r="B415" s="64"/>
      <c r="C415" s="160" t="s">
        <v>86</v>
      </c>
      <c r="D415" s="160"/>
      <c r="E415" s="160"/>
      <c r="F415" s="160"/>
      <c r="G415" s="160"/>
      <c r="H415" s="160"/>
      <c r="I415" s="160"/>
      <c r="J415" s="160"/>
      <c r="K415" s="160"/>
      <c r="L415" s="160"/>
      <c r="M415" s="160"/>
      <c r="N415" s="180"/>
      <c r="O415" s="22"/>
      <c r="P415" s="24"/>
      <c r="Q415" s="94"/>
      <c r="R415" s="212"/>
      <c r="S415" s="212"/>
      <c r="T415" s="212"/>
      <c r="U415" s="212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12"/>
      <c r="AF415" s="212"/>
      <c r="AG415" s="212"/>
      <c r="AH415" s="212"/>
      <c r="AI415" s="212"/>
      <c r="AJ415" s="212"/>
      <c r="AK415" s="212"/>
      <c r="AL415" s="212"/>
      <c r="AM415" s="212"/>
      <c r="AN415" s="212"/>
      <c r="AO415" s="212"/>
      <c r="AP415" s="212"/>
      <c r="AQ415" s="212"/>
      <c r="AR415" s="212"/>
      <c r="AS415" s="212"/>
      <c r="AT415" s="212"/>
      <c r="AU415" s="212"/>
      <c r="AV415" s="212"/>
      <c r="AW415" s="212"/>
      <c r="AX415" s="212"/>
      <c r="AY415" s="212"/>
      <c r="AZ415" s="212"/>
      <c r="BA415" s="212"/>
      <c r="BB415" s="212"/>
      <c r="BC415" s="212"/>
      <c r="BD415" s="212"/>
      <c r="BE415" s="212"/>
      <c r="BF415" s="213"/>
      <c r="BG415" s="26"/>
      <c r="BH415" s="25"/>
    </row>
    <row r="416" spans="1:60" ht="14.25" customHeight="1" x14ac:dyDescent="0.25">
      <c r="A416" s="64"/>
      <c r="B416" s="64"/>
      <c r="C416" s="160"/>
      <c r="D416" s="160"/>
      <c r="E416" s="160"/>
      <c r="F416" s="160"/>
      <c r="G416" s="160"/>
      <c r="H416" s="160"/>
      <c r="I416" s="160"/>
      <c r="J416" s="160"/>
      <c r="K416" s="160"/>
      <c r="L416" s="160"/>
      <c r="M416" s="160"/>
      <c r="N416" s="180"/>
      <c r="O416" s="22"/>
      <c r="P416" s="24"/>
      <c r="Q416" s="214"/>
      <c r="R416" s="215"/>
      <c r="S416" s="215"/>
      <c r="T416" s="215"/>
      <c r="U416" s="215"/>
      <c r="V416" s="215"/>
      <c r="W416" s="215"/>
      <c r="X416" s="215"/>
      <c r="Y416" s="215"/>
      <c r="Z416" s="215"/>
      <c r="AA416" s="215"/>
      <c r="AB416" s="215"/>
      <c r="AC416" s="215"/>
      <c r="AD416" s="215"/>
      <c r="AE416" s="215"/>
      <c r="AF416" s="215"/>
      <c r="AG416" s="215"/>
      <c r="AH416" s="215"/>
      <c r="AI416" s="215"/>
      <c r="AJ416" s="215"/>
      <c r="AK416" s="215"/>
      <c r="AL416" s="215"/>
      <c r="AM416" s="215"/>
      <c r="AN416" s="215"/>
      <c r="AO416" s="215"/>
      <c r="AP416" s="215"/>
      <c r="AQ416" s="215"/>
      <c r="AR416" s="215"/>
      <c r="AS416" s="215"/>
      <c r="AT416" s="215"/>
      <c r="AU416" s="215"/>
      <c r="AV416" s="215"/>
      <c r="AW416" s="215"/>
      <c r="AX416" s="215"/>
      <c r="AY416" s="215"/>
      <c r="AZ416" s="215"/>
      <c r="BA416" s="215"/>
      <c r="BB416" s="215"/>
      <c r="BC416" s="215"/>
      <c r="BD416" s="215"/>
      <c r="BE416" s="215"/>
      <c r="BF416" s="216"/>
      <c r="BG416" s="26"/>
      <c r="BH416" s="25"/>
    </row>
    <row r="417" spans="1:60" ht="14.25" customHeight="1" x14ac:dyDescent="0.25">
      <c r="A417" s="64"/>
      <c r="B417" s="64"/>
      <c r="C417" s="69"/>
      <c r="D417" s="69"/>
      <c r="E417" s="69"/>
      <c r="F417" s="69"/>
      <c r="G417" s="69"/>
      <c r="H417" s="69"/>
      <c r="I417" s="69"/>
      <c r="J417" s="69"/>
      <c r="K417" s="69"/>
      <c r="L417" s="69"/>
      <c r="M417" s="69"/>
      <c r="N417" s="69"/>
      <c r="O417" s="69"/>
      <c r="P417" s="69"/>
      <c r="Q417" s="69"/>
      <c r="R417" s="69"/>
      <c r="S417" s="69"/>
      <c r="T417" s="69"/>
      <c r="U417" s="69"/>
      <c r="V417" s="69"/>
      <c r="W417" s="69"/>
      <c r="X417" s="69"/>
      <c r="Y417" s="69"/>
      <c r="Z417" s="69"/>
      <c r="AA417" s="69"/>
      <c r="AB417" s="69"/>
      <c r="AC417" s="69"/>
      <c r="AD417" s="69"/>
      <c r="AE417" s="69"/>
      <c r="AF417" s="69"/>
      <c r="AG417" s="69"/>
      <c r="AH417" s="69"/>
      <c r="AI417" s="69"/>
      <c r="AJ417" s="69"/>
      <c r="AK417" s="69"/>
      <c r="AL417" s="69"/>
      <c r="AM417" s="69"/>
      <c r="AN417" s="69"/>
      <c r="AO417" s="69"/>
      <c r="AP417" s="16"/>
      <c r="AQ417" s="16"/>
      <c r="AR417" s="16"/>
      <c r="AS417" s="16"/>
      <c r="AT417" s="69"/>
      <c r="AU417" s="69"/>
      <c r="AV417" s="69"/>
      <c r="AW417" s="69"/>
      <c r="AX417" s="69"/>
      <c r="AY417" s="69"/>
      <c r="AZ417" s="69"/>
      <c r="BA417" s="69"/>
      <c r="BB417" s="69"/>
      <c r="BC417" s="69"/>
      <c r="BD417" s="69"/>
      <c r="BE417" s="69"/>
      <c r="BF417" s="69"/>
      <c r="BG417" s="64"/>
      <c r="BH417" s="64"/>
    </row>
    <row r="418" spans="1:60" ht="14.25" customHeight="1" x14ac:dyDescent="0.25">
      <c r="A418" s="64"/>
      <c r="B418" s="64"/>
      <c r="C418" s="160" t="s">
        <v>87</v>
      </c>
      <c r="D418" s="160"/>
      <c r="E418" s="160"/>
      <c r="F418" s="160"/>
      <c r="G418" s="160"/>
      <c r="H418" s="175"/>
      <c r="I418" s="200"/>
      <c r="J418" s="200"/>
      <c r="K418" s="200"/>
      <c r="L418" s="200"/>
      <c r="M418" s="200"/>
      <c r="N418" s="200"/>
      <c r="O418" s="22"/>
      <c r="P418" s="24"/>
      <c r="Q418" s="94"/>
      <c r="R418" s="212"/>
      <c r="S418" s="212"/>
      <c r="T418" s="212"/>
      <c r="U418" s="212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12"/>
      <c r="AF418" s="212"/>
      <c r="AG418" s="212"/>
      <c r="AH418" s="212"/>
      <c r="AI418" s="212"/>
      <c r="AJ418" s="212"/>
      <c r="AK418" s="212"/>
      <c r="AL418" s="212"/>
      <c r="AM418" s="212"/>
      <c r="AN418" s="212"/>
      <c r="AO418" s="212"/>
      <c r="AP418" s="212"/>
      <c r="AQ418" s="212"/>
      <c r="AR418" s="212"/>
      <c r="AS418" s="212"/>
      <c r="AT418" s="212"/>
      <c r="AU418" s="212"/>
      <c r="AV418" s="212"/>
      <c r="AW418" s="212"/>
      <c r="AX418" s="212"/>
      <c r="AY418" s="212"/>
      <c r="AZ418" s="212"/>
      <c r="BA418" s="212"/>
      <c r="BB418" s="212"/>
      <c r="BC418" s="212"/>
      <c r="BD418" s="212"/>
      <c r="BE418" s="212"/>
      <c r="BF418" s="213"/>
      <c r="BG418" s="26"/>
      <c r="BH418" s="25"/>
    </row>
    <row r="419" spans="1:60" ht="14.25" customHeight="1" x14ac:dyDescent="0.25">
      <c r="A419" s="64"/>
      <c r="B419" s="64"/>
      <c r="C419" s="160"/>
      <c r="D419" s="160"/>
      <c r="E419" s="160"/>
      <c r="F419" s="160"/>
      <c r="G419" s="160"/>
      <c r="H419" s="175"/>
      <c r="I419" s="200"/>
      <c r="J419" s="200"/>
      <c r="K419" s="200"/>
      <c r="L419" s="200"/>
      <c r="M419" s="200"/>
      <c r="N419" s="200"/>
      <c r="O419" s="22"/>
      <c r="P419" s="24"/>
      <c r="Q419" s="214"/>
      <c r="R419" s="215"/>
      <c r="S419" s="215"/>
      <c r="T419" s="215"/>
      <c r="U419" s="215"/>
      <c r="V419" s="215"/>
      <c r="W419" s="215"/>
      <c r="X419" s="215"/>
      <c r="Y419" s="215"/>
      <c r="Z419" s="215"/>
      <c r="AA419" s="215"/>
      <c r="AB419" s="215"/>
      <c r="AC419" s="215"/>
      <c r="AD419" s="215"/>
      <c r="AE419" s="215"/>
      <c r="AF419" s="215"/>
      <c r="AG419" s="215"/>
      <c r="AH419" s="215"/>
      <c r="AI419" s="215"/>
      <c r="AJ419" s="215"/>
      <c r="AK419" s="215"/>
      <c r="AL419" s="215"/>
      <c r="AM419" s="215"/>
      <c r="AN419" s="215"/>
      <c r="AO419" s="215"/>
      <c r="AP419" s="215"/>
      <c r="AQ419" s="215"/>
      <c r="AR419" s="215"/>
      <c r="AS419" s="215"/>
      <c r="AT419" s="215"/>
      <c r="AU419" s="215"/>
      <c r="AV419" s="215"/>
      <c r="AW419" s="215"/>
      <c r="AX419" s="215"/>
      <c r="AY419" s="215"/>
      <c r="AZ419" s="215"/>
      <c r="BA419" s="215"/>
      <c r="BB419" s="215"/>
      <c r="BC419" s="215"/>
      <c r="BD419" s="215"/>
      <c r="BE419" s="215"/>
      <c r="BF419" s="216"/>
      <c r="BG419" s="26"/>
      <c r="BH419" s="25"/>
    </row>
    <row r="420" spans="1:60" ht="14.25" customHeight="1" x14ac:dyDescent="0.25">
      <c r="A420" s="64"/>
      <c r="B420" s="64"/>
      <c r="C420" s="210"/>
      <c r="D420" s="217"/>
      <c r="E420" s="217"/>
      <c r="F420" s="217"/>
      <c r="G420" s="217"/>
      <c r="H420" s="217"/>
      <c r="I420" s="217"/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217"/>
      <c r="Z420" s="217"/>
      <c r="AA420" s="217"/>
      <c r="AB420" s="217"/>
      <c r="AC420" s="217"/>
      <c r="AD420" s="217"/>
      <c r="AE420" s="217"/>
      <c r="AF420" s="217"/>
      <c r="AG420" s="217"/>
      <c r="AH420" s="217"/>
      <c r="AI420" s="217"/>
      <c r="AJ420" s="217"/>
      <c r="AK420" s="217"/>
      <c r="AL420" s="217"/>
      <c r="AM420" s="217"/>
      <c r="AN420" s="217"/>
      <c r="AO420" s="217"/>
      <c r="AP420" s="217"/>
      <c r="AQ420" s="217"/>
      <c r="AR420" s="217"/>
      <c r="AS420" s="217"/>
      <c r="AT420" s="217"/>
      <c r="AU420" s="217"/>
      <c r="AV420" s="217"/>
      <c r="AW420" s="217"/>
      <c r="AX420" s="217"/>
      <c r="AY420" s="217"/>
      <c r="AZ420" s="217"/>
      <c r="BA420" s="217"/>
      <c r="BB420" s="217"/>
      <c r="BC420" s="217"/>
      <c r="BD420" s="217"/>
      <c r="BE420" s="217"/>
      <c r="BF420" s="217"/>
      <c r="BG420" s="64"/>
      <c r="BH420" s="64"/>
    </row>
    <row r="421" spans="1:60" ht="14.25" customHeight="1" x14ac:dyDescent="0.25">
      <c r="A421" s="64"/>
      <c r="B421" s="64"/>
      <c r="C421" s="64"/>
      <c r="D421" s="64"/>
      <c r="E421" s="64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/>
      <c r="AD421" s="64"/>
      <c r="AE421" s="64"/>
      <c r="AF421" s="64"/>
      <c r="AG421" s="64"/>
      <c r="AH421" s="64"/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/>
      <c r="BB421" s="64"/>
      <c r="BC421" s="64"/>
      <c r="BD421" s="64"/>
      <c r="BE421" s="64"/>
      <c r="BF421" s="64"/>
      <c r="BG421" s="64"/>
      <c r="BH421" s="64"/>
    </row>
    <row r="422" spans="1:60" ht="14.25" customHeight="1" x14ac:dyDescent="0.25">
      <c r="A422" s="64"/>
      <c r="B422" s="64"/>
      <c r="C422" s="64"/>
      <c r="D422" s="64"/>
      <c r="E422" s="64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64"/>
      <c r="Q422" s="64"/>
      <c r="R422" s="64"/>
      <c r="S422" s="64"/>
      <c r="T422" s="64"/>
      <c r="U422" s="64"/>
      <c r="V422" s="64"/>
      <c r="W422" s="64"/>
      <c r="X422" s="64"/>
      <c r="Y422" s="64"/>
      <c r="Z422" s="64"/>
      <c r="AA422" s="64"/>
      <c r="AB422" s="64"/>
      <c r="AC422" s="64"/>
      <c r="AD422" s="64"/>
      <c r="AE422" s="64"/>
      <c r="AF422" s="64"/>
      <c r="AG422" s="64"/>
      <c r="AH422" s="64"/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/>
      <c r="BB422" s="64"/>
      <c r="BC422" s="64"/>
      <c r="BD422" s="64"/>
      <c r="BE422" s="64"/>
      <c r="BF422" s="64"/>
      <c r="BG422" s="64"/>
      <c r="BH422" s="64"/>
    </row>
    <row r="423" spans="1:60" ht="14.25" customHeight="1" x14ac:dyDescent="0.25">
      <c r="A423" s="64"/>
      <c r="B423" s="64"/>
      <c r="C423" s="64"/>
      <c r="D423" s="64"/>
      <c r="E423" s="64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/>
      <c r="AD423" s="64"/>
      <c r="AE423" s="64"/>
      <c r="AF423" s="64"/>
      <c r="AG423" s="64"/>
      <c r="AH423" s="64"/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/>
      <c r="BB423" s="64"/>
      <c r="BC423" s="64"/>
      <c r="BD423" s="64"/>
      <c r="BE423" s="64"/>
      <c r="BF423" s="64"/>
      <c r="BG423" s="64"/>
      <c r="BH423" s="64"/>
    </row>
    <row r="424" spans="1:60" ht="14.25" customHeight="1" x14ac:dyDescent="0.25">
      <c r="A424" s="64"/>
      <c r="B424" s="64"/>
      <c r="C424" s="160" t="s">
        <v>302</v>
      </c>
      <c r="D424" s="160"/>
      <c r="E424" s="160"/>
      <c r="F424" s="160"/>
      <c r="G424" s="160"/>
      <c r="H424" s="175"/>
      <c r="I424" s="169"/>
      <c r="J424" s="170"/>
      <c r="K424" s="170"/>
      <c r="L424" s="170"/>
      <c r="M424" s="170"/>
      <c r="N424" s="170"/>
      <c r="O424" s="170"/>
      <c r="P424" s="170"/>
      <c r="Q424" s="170"/>
      <c r="R424" s="170"/>
      <c r="S424" s="170"/>
      <c r="T424" s="170"/>
      <c r="U424" s="170"/>
      <c r="V424" s="170"/>
      <c r="W424" s="170"/>
      <c r="X424" s="170"/>
      <c r="Y424" s="170"/>
      <c r="Z424" s="170"/>
      <c r="AA424" s="170"/>
      <c r="AB424" s="170"/>
      <c r="AC424" s="171"/>
      <c r="AD424" s="64"/>
      <c r="AE424" s="160" t="s">
        <v>303</v>
      </c>
      <c r="AF424" s="200"/>
      <c r="AG424" s="200"/>
      <c r="AH424" s="200"/>
      <c r="AI424" s="200"/>
      <c r="AJ424" s="200"/>
      <c r="AK424" s="218"/>
      <c r="AL424" s="94"/>
      <c r="AM424" s="95"/>
      <c r="AN424" s="95"/>
      <c r="AO424" s="95"/>
      <c r="AP424" s="96"/>
      <c r="AQ424" s="229" t="s">
        <v>304</v>
      </c>
      <c r="AR424" s="200"/>
      <c r="AS424" s="200"/>
      <c r="AT424" s="200"/>
      <c r="AU424" s="200"/>
      <c r="AV424" s="218"/>
      <c r="AW424" s="169"/>
      <c r="AX424" s="170"/>
      <c r="AY424" s="170"/>
      <c r="AZ424" s="170"/>
      <c r="BA424" s="170"/>
      <c r="BB424" s="170"/>
      <c r="BC424" s="170"/>
      <c r="BD424" s="170"/>
      <c r="BE424" s="170"/>
      <c r="BF424" s="171"/>
      <c r="BG424" s="64"/>
      <c r="BH424" s="64"/>
    </row>
    <row r="425" spans="1:60" ht="14.25" customHeight="1" x14ac:dyDescent="0.25">
      <c r="A425" s="64"/>
      <c r="B425" s="64"/>
      <c r="C425" s="160"/>
      <c r="D425" s="160"/>
      <c r="E425" s="160"/>
      <c r="F425" s="160"/>
      <c r="G425" s="160"/>
      <c r="H425" s="175"/>
      <c r="I425" s="172"/>
      <c r="J425" s="173"/>
      <c r="K425" s="173"/>
      <c r="L425" s="173"/>
      <c r="M425" s="173"/>
      <c r="N425" s="173"/>
      <c r="O425" s="173"/>
      <c r="P425" s="173"/>
      <c r="Q425" s="173"/>
      <c r="R425" s="173"/>
      <c r="S425" s="173"/>
      <c r="T425" s="173"/>
      <c r="U425" s="173"/>
      <c r="V425" s="173"/>
      <c r="W425" s="173"/>
      <c r="X425" s="173"/>
      <c r="Y425" s="173"/>
      <c r="Z425" s="173"/>
      <c r="AA425" s="173"/>
      <c r="AB425" s="173"/>
      <c r="AC425" s="174"/>
      <c r="AD425" s="64"/>
      <c r="AE425" s="200"/>
      <c r="AF425" s="200"/>
      <c r="AG425" s="200"/>
      <c r="AH425" s="200"/>
      <c r="AI425" s="200"/>
      <c r="AJ425" s="200"/>
      <c r="AK425" s="218"/>
      <c r="AL425" s="97"/>
      <c r="AM425" s="98"/>
      <c r="AN425" s="98"/>
      <c r="AO425" s="98"/>
      <c r="AP425" s="99"/>
      <c r="AQ425" s="233"/>
      <c r="AR425" s="200"/>
      <c r="AS425" s="200"/>
      <c r="AT425" s="200"/>
      <c r="AU425" s="200"/>
      <c r="AV425" s="218"/>
      <c r="AW425" s="172"/>
      <c r="AX425" s="173"/>
      <c r="AY425" s="173"/>
      <c r="AZ425" s="173"/>
      <c r="BA425" s="173"/>
      <c r="BB425" s="173"/>
      <c r="BC425" s="173"/>
      <c r="BD425" s="173"/>
      <c r="BE425" s="173"/>
      <c r="BF425" s="174"/>
      <c r="BG425" s="64"/>
      <c r="BH425" s="64"/>
    </row>
    <row r="426" spans="1:60" ht="14.25" customHeight="1" x14ac:dyDescent="0.25">
      <c r="A426" s="64"/>
      <c r="B426" s="64"/>
      <c r="C426" s="62"/>
      <c r="D426" s="62"/>
      <c r="E426" s="62"/>
      <c r="F426" s="62"/>
      <c r="G426" s="62"/>
      <c r="H426" s="62"/>
      <c r="I426" s="64"/>
      <c r="J426" s="64"/>
      <c r="K426" s="64"/>
      <c r="L426" s="64"/>
      <c r="M426" s="64"/>
      <c r="N426" s="64"/>
      <c r="O426" s="64"/>
      <c r="P426" s="64"/>
      <c r="Q426" s="64"/>
      <c r="R426" s="64"/>
      <c r="S426" s="64"/>
      <c r="T426" s="64"/>
      <c r="U426" s="64"/>
      <c r="V426" s="64"/>
      <c r="W426" s="64"/>
      <c r="X426" s="64"/>
      <c r="Y426" s="64"/>
      <c r="Z426" s="64"/>
      <c r="AA426" s="64"/>
      <c r="AB426" s="64"/>
      <c r="AC426" s="64"/>
      <c r="AD426" s="64"/>
      <c r="AE426" s="64"/>
      <c r="AF426" s="62"/>
      <c r="AG426" s="62"/>
      <c r="AH426" s="62"/>
      <c r="AI426" s="62"/>
      <c r="AJ426" s="62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/>
      <c r="BB426" s="64"/>
      <c r="BC426" s="64"/>
      <c r="BD426" s="64"/>
      <c r="BE426" s="64"/>
      <c r="BF426" s="64"/>
      <c r="BG426" s="64"/>
      <c r="BH426" s="64"/>
    </row>
    <row r="427" spans="1:60" ht="14.25" customHeight="1" x14ac:dyDescent="0.25">
      <c r="A427" s="64"/>
      <c r="B427" s="64"/>
      <c r="C427" s="160" t="s">
        <v>305</v>
      </c>
      <c r="D427" s="160"/>
      <c r="E427" s="160"/>
      <c r="F427" s="160"/>
      <c r="G427" s="160"/>
      <c r="H427" s="64"/>
      <c r="I427" s="169"/>
      <c r="J427" s="170"/>
      <c r="K427" s="170"/>
      <c r="L427" s="170"/>
      <c r="M427" s="170"/>
      <c r="N427" s="170"/>
      <c r="O427" s="170"/>
      <c r="P427" s="170"/>
      <c r="Q427" s="170"/>
      <c r="R427" s="170"/>
      <c r="S427" s="170"/>
      <c r="T427" s="170"/>
      <c r="U427" s="170"/>
      <c r="V427" s="170"/>
      <c r="W427" s="170"/>
      <c r="X427" s="170"/>
      <c r="Y427" s="170"/>
      <c r="Z427" s="170"/>
      <c r="AA427" s="170"/>
      <c r="AB427" s="170"/>
      <c r="AC427" s="171"/>
      <c r="AD427" s="64"/>
      <c r="AE427" s="160" t="s">
        <v>306</v>
      </c>
      <c r="AF427" s="200"/>
      <c r="AG427" s="200"/>
      <c r="AH427" s="200"/>
      <c r="AI427" s="200"/>
      <c r="AJ427" s="200"/>
      <c r="AK427" s="218"/>
      <c r="AL427" s="169"/>
      <c r="AM427" s="170"/>
      <c r="AN427" s="170"/>
      <c r="AO427" s="170"/>
      <c r="AP427" s="170"/>
      <c r="AQ427" s="170"/>
      <c r="AR427" s="170"/>
      <c r="AS427" s="170"/>
      <c r="AT427" s="170"/>
      <c r="AU427" s="170"/>
      <c r="AV427" s="170"/>
      <c r="AW427" s="170"/>
      <c r="AX427" s="170"/>
      <c r="AY427" s="170"/>
      <c r="AZ427" s="170"/>
      <c r="BA427" s="170"/>
      <c r="BB427" s="170"/>
      <c r="BC427" s="170"/>
      <c r="BD427" s="170"/>
      <c r="BE427" s="170"/>
      <c r="BF427" s="171"/>
      <c r="BG427" s="64"/>
      <c r="BH427" s="64"/>
    </row>
    <row r="428" spans="1:60" ht="14.25" customHeight="1" x14ac:dyDescent="0.25">
      <c r="A428" s="64"/>
      <c r="B428" s="64"/>
      <c r="C428" s="160"/>
      <c r="D428" s="160"/>
      <c r="E428" s="160"/>
      <c r="F428" s="160"/>
      <c r="G428" s="160"/>
      <c r="H428" s="64"/>
      <c r="I428" s="172"/>
      <c r="J428" s="173"/>
      <c r="K428" s="173"/>
      <c r="L428" s="173"/>
      <c r="M428" s="173"/>
      <c r="N428" s="173"/>
      <c r="O428" s="173"/>
      <c r="P428" s="173"/>
      <c r="Q428" s="173"/>
      <c r="R428" s="173"/>
      <c r="S428" s="173"/>
      <c r="T428" s="173"/>
      <c r="U428" s="173"/>
      <c r="V428" s="173"/>
      <c r="W428" s="173"/>
      <c r="X428" s="173"/>
      <c r="Y428" s="173"/>
      <c r="Z428" s="173"/>
      <c r="AA428" s="173"/>
      <c r="AB428" s="173"/>
      <c r="AC428" s="174"/>
      <c r="AD428" s="64"/>
      <c r="AE428" s="200"/>
      <c r="AF428" s="200"/>
      <c r="AG428" s="200"/>
      <c r="AH428" s="200"/>
      <c r="AI428" s="200"/>
      <c r="AJ428" s="200"/>
      <c r="AK428" s="218"/>
      <c r="AL428" s="172"/>
      <c r="AM428" s="173"/>
      <c r="AN428" s="173"/>
      <c r="AO428" s="173"/>
      <c r="AP428" s="173"/>
      <c r="AQ428" s="173"/>
      <c r="AR428" s="173"/>
      <c r="AS428" s="173"/>
      <c r="AT428" s="173"/>
      <c r="AU428" s="173"/>
      <c r="AV428" s="173"/>
      <c r="AW428" s="173"/>
      <c r="AX428" s="173"/>
      <c r="AY428" s="173"/>
      <c r="AZ428" s="173"/>
      <c r="BA428" s="173"/>
      <c r="BB428" s="173"/>
      <c r="BC428" s="173"/>
      <c r="BD428" s="173"/>
      <c r="BE428" s="173"/>
      <c r="BF428" s="174"/>
      <c r="BG428" s="64"/>
      <c r="BH428" s="64"/>
    </row>
    <row r="429" spans="1:60" ht="14.25" customHeight="1" x14ac:dyDescent="0.25">
      <c r="A429" s="64"/>
      <c r="B429" s="64"/>
      <c r="C429" s="64"/>
      <c r="D429" s="64"/>
      <c r="E429" s="64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64"/>
      <c r="Q429" s="64"/>
      <c r="R429" s="64"/>
      <c r="S429" s="64"/>
      <c r="T429" s="64"/>
      <c r="U429" s="64"/>
      <c r="V429" s="64"/>
      <c r="W429" s="64"/>
      <c r="X429" s="64"/>
      <c r="Y429" s="64"/>
      <c r="Z429" s="64"/>
      <c r="AA429" s="64"/>
      <c r="AB429" s="64"/>
      <c r="AC429" s="64"/>
      <c r="AD429" s="64"/>
      <c r="AE429" s="64"/>
      <c r="AF429" s="62"/>
      <c r="AG429" s="62"/>
      <c r="AH429" s="62"/>
      <c r="AI429" s="62"/>
      <c r="AJ429" s="62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/>
      <c r="BB429" s="64"/>
      <c r="BC429" s="64"/>
      <c r="BD429" s="64"/>
      <c r="BE429" s="64"/>
      <c r="BF429" s="64"/>
      <c r="BG429" s="64"/>
      <c r="BH429" s="64"/>
    </row>
    <row r="430" spans="1:60" ht="14.25" customHeight="1" x14ac:dyDescent="0.25">
      <c r="A430" s="64"/>
      <c r="B430" s="64"/>
      <c r="C430" s="160" t="s">
        <v>307</v>
      </c>
      <c r="D430" s="160"/>
      <c r="E430" s="160"/>
      <c r="F430" s="160"/>
      <c r="G430" s="160"/>
      <c r="H430" s="64"/>
      <c r="I430" s="169"/>
      <c r="J430" s="170"/>
      <c r="K430" s="170"/>
      <c r="L430" s="170"/>
      <c r="M430" s="170"/>
      <c r="N430" s="170"/>
      <c r="O430" s="170"/>
      <c r="P430" s="170"/>
      <c r="Q430" s="170"/>
      <c r="R430" s="170"/>
      <c r="S430" s="170"/>
      <c r="T430" s="170"/>
      <c r="U430" s="170"/>
      <c r="V430" s="170"/>
      <c r="W430" s="170"/>
      <c r="X430" s="170"/>
      <c r="Y430" s="170"/>
      <c r="Z430" s="170"/>
      <c r="AA430" s="170"/>
      <c r="AB430" s="170"/>
      <c r="AC430" s="171"/>
      <c r="AD430" s="64"/>
      <c r="AE430" s="239" t="s">
        <v>329</v>
      </c>
      <c r="AF430" s="239"/>
      <c r="AG430" s="239"/>
      <c r="AH430" s="239"/>
      <c r="AI430" s="239"/>
      <c r="AJ430" s="239"/>
      <c r="AK430" s="239"/>
      <c r="AL430" s="239"/>
      <c r="AM430" s="239"/>
      <c r="AN430" s="239"/>
      <c r="AO430" s="239"/>
      <c r="AP430" s="239"/>
      <c r="AQ430" s="239"/>
      <c r="AR430" s="239"/>
      <c r="AS430" s="239"/>
      <c r="AT430" s="94" t="s">
        <v>46</v>
      </c>
      <c r="AU430" s="95"/>
      <c r="AV430" s="95"/>
      <c r="AW430" s="96"/>
      <c r="AX430" s="36"/>
      <c r="AY430" s="162" t="s">
        <v>308</v>
      </c>
      <c r="AZ430" s="162"/>
      <c r="BA430" s="240"/>
      <c r="BB430" s="115"/>
      <c r="BC430" s="116"/>
      <c r="BD430" s="116"/>
      <c r="BE430" s="116"/>
      <c r="BF430" s="117"/>
      <c r="BG430" s="64"/>
      <c r="BH430" s="64"/>
    </row>
    <row r="431" spans="1:60" ht="14.25" customHeight="1" x14ac:dyDescent="0.25">
      <c r="A431" s="64"/>
      <c r="B431" s="64"/>
      <c r="C431" s="160"/>
      <c r="D431" s="160"/>
      <c r="E431" s="160"/>
      <c r="F431" s="160"/>
      <c r="G431" s="160"/>
      <c r="H431" s="64"/>
      <c r="I431" s="172"/>
      <c r="J431" s="173"/>
      <c r="K431" s="173"/>
      <c r="L431" s="173"/>
      <c r="M431" s="173"/>
      <c r="N431" s="173"/>
      <c r="O431" s="173"/>
      <c r="P431" s="173"/>
      <c r="Q431" s="173"/>
      <c r="R431" s="173"/>
      <c r="S431" s="173"/>
      <c r="T431" s="173"/>
      <c r="U431" s="173"/>
      <c r="V431" s="173"/>
      <c r="W431" s="173"/>
      <c r="X431" s="173"/>
      <c r="Y431" s="173"/>
      <c r="Z431" s="173"/>
      <c r="AA431" s="173"/>
      <c r="AB431" s="173"/>
      <c r="AC431" s="174"/>
      <c r="AD431" s="64"/>
      <c r="AE431" s="239"/>
      <c r="AF431" s="239"/>
      <c r="AG431" s="239"/>
      <c r="AH431" s="239"/>
      <c r="AI431" s="239"/>
      <c r="AJ431" s="239"/>
      <c r="AK431" s="239"/>
      <c r="AL431" s="239"/>
      <c r="AM431" s="239"/>
      <c r="AN431" s="239"/>
      <c r="AO431" s="239"/>
      <c r="AP431" s="239"/>
      <c r="AQ431" s="239"/>
      <c r="AR431" s="239"/>
      <c r="AS431" s="239"/>
      <c r="AT431" s="97"/>
      <c r="AU431" s="98"/>
      <c r="AV431" s="98"/>
      <c r="AW431" s="99"/>
      <c r="AX431" s="36"/>
      <c r="AY431" s="162"/>
      <c r="AZ431" s="162"/>
      <c r="BA431" s="240"/>
      <c r="BB431" s="118"/>
      <c r="BC431" s="119"/>
      <c r="BD431" s="119"/>
      <c r="BE431" s="119"/>
      <c r="BF431" s="120"/>
      <c r="BG431" s="64"/>
      <c r="BH431" s="64"/>
    </row>
    <row r="432" spans="1:60" ht="14.25" customHeight="1" x14ac:dyDescent="0.25">
      <c r="A432" s="64"/>
      <c r="B432" s="64"/>
      <c r="C432" s="64"/>
      <c r="D432" s="64"/>
      <c r="E432" s="64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64"/>
      <c r="Q432" s="64"/>
      <c r="R432" s="64"/>
      <c r="S432" s="64"/>
      <c r="T432" s="64"/>
      <c r="U432" s="64"/>
      <c r="V432" s="64"/>
      <c r="W432" s="64"/>
      <c r="X432" s="64"/>
      <c r="Y432" s="64"/>
      <c r="Z432" s="64"/>
      <c r="AA432" s="64"/>
      <c r="AB432" s="64"/>
      <c r="AC432" s="64"/>
      <c r="AD432" s="64"/>
      <c r="AE432" s="64"/>
      <c r="AF432" s="64"/>
      <c r="AG432" s="64"/>
      <c r="AH432" s="64"/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/>
      <c r="BB432" s="64"/>
      <c r="BC432" s="64"/>
      <c r="BD432" s="64"/>
      <c r="BE432" s="64"/>
      <c r="BF432" s="64"/>
      <c r="BG432" s="64"/>
      <c r="BH432" s="64"/>
    </row>
    <row r="433" spans="1:60" ht="14.25" customHeight="1" x14ac:dyDescent="0.25">
      <c r="A433" s="64"/>
      <c r="B433" s="64"/>
      <c r="C433" s="143" t="s">
        <v>309</v>
      </c>
      <c r="D433" s="143"/>
      <c r="E433" s="143"/>
      <c r="F433" s="143"/>
      <c r="G433" s="143"/>
      <c r="H433" s="64"/>
      <c r="I433" s="100" t="s">
        <v>31</v>
      </c>
      <c r="J433" s="101"/>
      <c r="K433" s="101"/>
      <c r="L433" s="101"/>
      <c r="M433" s="101"/>
      <c r="N433" s="101"/>
      <c r="O433" s="101"/>
      <c r="P433" s="101"/>
      <c r="Q433" s="241"/>
      <c r="R433" s="241"/>
      <c r="S433" s="241"/>
      <c r="T433" s="241"/>
      <c r="U433" s="241"/>
      <c r="V433" s="242"/>
      <c r="W433" s="146" t="s">
        <v>310</v>
      </c>
      <c r="X433" s="146"/>
      <c r="Y433" s="146"/>
      <c r="Z433" s="218"/>
      <c r="AA433" s="115"/>
      <c r="AB433" s="212"/>
      <c r="AC433" s="212"/>
      <c r="AD433" s="213"/>
      <c r="AE433" s="146" t="s">
        <v>311</v>
      </c>
      <c r="AF433" s="200"/>
      <c r="AG433" s="200"/>
      <c r="AH433" s="200"/>
      <c r="AI433" s="218"/>
      <c r="AJ433" s="115"/>
      <c r="AK433" s="133"/>
      <c r="AL433" s="133"/>
      <c r="AM433" s="133"/>
      <c r="AN433" s="133"/>
      <c r="AO433" s="133"/>
      <c r="AP433" s="133"/>
      <c r="AQ433" s="134"/>
      <c r="AR433" s="19"/>
      <c r="AS433" s="221" t="s">
        <v>312</v>
      </c>
      <c r="AT433" s="221"/>
      <c r="AU433" s="221"/>
      <c r="AV433" s="221"/>
      <c r="AW433" s="221"/>
      <c r="AX433" s="167"/>
      <c r="AY433" s="94"/>
      <c r="AZ433" s="95"/>
      <c r="BA433" s="95"/>
      <c r="BB433" s="95"/>
      <c r="BC433" s="95"/>
      <c r="BD433" s="95"/>
      <c r="BE433" s="95"/>
      <c r="BF433" s="96"/>
      <c r="BG433" s="64"/>
      <c r="BH433" s="64"/>
    </row>
    <row r="434" spans="1:60" ht="14.25" customHeight="1" x14ac:dyDescent="0.25">
      <c r="A434" s="64"/>
      <c r="B434" s="64"/>
      <c r="C434" s="143"/>
      <c r="D434" s="143"/>
      <c r="E434" s="143"/>
      <c r="F434" s="143"/>
      <c r="G434" s="143"/>
      <c r="H434" s="64"/>
      <c r="I434" s="103"/>
      <c r="J434" s="104"/>
      <c r="K434" s="104"/>
      <c r="L434" s="104"/>
      <c r="M434" s="104"/>
      <c r="N434" s="104"/>
      <c r="O434" s="104"/>
      <c r="P434" s="104"/>
      <c r="Q434" s="243"/>
      <c r="R434" s="243"/>
      <c r="S434" s="243"/>
      <c r="T434" s="243"/>
      <c r="U434" s="243"/>
      <c r="V434" s="244"/>
      <c r="W434" s="146"/>
      <c r="X434" s="146"/>
      <c r="Y434" s="146"/>
      <c r="Z434" s="218"/>
      <c r="AA434" s="214"/>
      <c r="AB434" s="215"/>
      <c r="AC434" s="215"/>
      <c r="AD434" s="216"/>
      <c r="AE434" s="200"/>
      <c r="AF434" s="200"/>
      <c r="AG434" s="200"/>
      <c r="AH434" s="200"/>
      <c r="AI434" s="218"/>
      <c r="AJ434" s="135"/>
      <c r="AK434" s="136"/>
      <c r="AL434" s="136"/>
      <c r="AM434" s="136"/>
      <c r="AN434" s="136"/>
      <c r="AO434" s="136"/>
      <c r="AP434" s="136"/>
      <c r="AQ434" s="137"/>
      <c r="AR434" s="19"/>
      <c r="AS434" s="221"/>
      <c r="AT434" s="221"/>
      <c r="AU434" s="221"/>
      <c r="AV434" s="221"/>
      <c r="AW434" s="221"/>
      <c r="AX434" s="167"/>
      <c r="AY434" s="97"/>
      <c r="AZ434" s="98"/>
      <c r="BA434" s="98"/>
      <c r="BB434" s="98"/>
      <c r="BC434" s="98"/>
      <c r="BD434" s="98"/>
      <c r="BE434" s="98"/>
      <c r="BF434" s="99"/>
      <c r="BG434" s="64"/>
      <c r="BH434" s="64"/>
    </row>
    <row r="435" spans="1:60" ht="14.25" customHeight="1" x14ac:dyDescent="0.25">
      <c r="A435" s="64"/>
      <c r="B435" s="64"/>
      <c r="C435" s="64"/>
      <c r="D435" s="64"/>
      <c r="E435" s="64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64"/>
      <c r="Q435" s="64"/>
      <c r="R435" s="64"/>
      <c r="S435" s="64"/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/>
      <c r="BB435" s="64"/>
      <c r="BC435" s="64"/>
      <c r="BD435" s="64"/>
      <c r="BE435" s="64"/>
      <c r="BF435" s="64"/>
      <c r="BG435" s="64"/>
      <c r="BH435" s="64"/>
    </row>
    <row r="436" spans="1:60" ht="14.25" customHeight="1" x14ac:dyDescent="0.25">
      <c r="A436" s="64"/>
      <c r="B436" s="64"/>
      <c r="C436" s="143" t="s">
        <v>313</v>
      </c>
      <c r="D436" s="143"/>
      <c r="E436" s="143"/>
      <c r="F436" s="143"/>
      <c r="G436" s="143"/>
      <c r="H436" s="218"/>
      <c r="I436" s="115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7"/>
      <c r="AP436" s="145" t="s">
        <v>314</v>
      </c>
      <c r="AQ436" s="200"/>
      <c r="AR436" s="200"/>
      <c r="AS436" s="200"/>
      <c r="AT436" s="200"/>
      <c r="AU436" s="200"/>
      <c r="AV436" s="200"/>
      <c r="AW436" s="200"/>
      <c r="AX436" s="218"/>
      <c r="AY436" s="115"/>
      <c r="AZ436" s="116"/>
      <c r="BA436" s="116"/>
      <c r="BB436" s="116"/>
      <c r="BC436" s="116"/>
      <c r="BD436" s="116"/>
      <c r="BE436" s="116"/>
      <c r="BF436" s="117"/>
      <c r="BG436" s="64"/>
      <c r="BH436" s="64"/>
    </row>
    <row r="437" spans="1:60" ht="14.25" customHeight="1" x14ac:dyDescent="0.25">
      <c r="A437" s="64"/>
      <c r="B437" s="64"/>
      <c r="C437" s="143"/>
      <c r="D437" s="143"/>
      <c r="E437" s="143"/>
      <c r="F437" s="143"/>
      <c r="G437" s="143"/>
      <c r="H437" s="218"/>
      <c r="I437" s="118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  <c r="AA437" s="119"/>
      <c r="AB437" s="119"/>
      <c r="AC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20"/>
      <c r="AP437" s="233"/>
      <c r="AQ437" s="200"/>
      <c r="AR437" s="200"/>
      <c r="AS437" s="200"/>
      <c r="AT437" s="200"/>
      <c r="AU437" s="200"/>
      <c r="AV437" s="200"/>
      <c r="AW437" s="200"/>
      <c r="AX437" s="218"/>
      <c r="AY437" s="118"/>
      <c r="AZ437" s="119"/>
      <c r="BA437" s="119"/>
      <c r="BB437" s="119"/>
      <c r="BC437" s="119"/>
      <c r="BD437" s="119"/>
      <c r="BE437" s="119"/>
      <c r="BF437" s="120"/>
      <c r="BG437" s="64"/>
      <c r="BH437" s="64"/>
    </row>
    <row r="438" spans="1:60" ht="14.25" customHeight="1" x14ac:dyDescent="0.25">
      <c r="A438" s="64"/>
      <c r="B438" s="64"/>
      <c r="C438" s="234" t="s">
        <v>38</v>
      </c>
      <c r="D438" s="234"/>
      <c r="E438" s="234"/>
      <c r="F438" s="234"/>
      <c r="G438" s="234"/>
      <c r="H438" s="234"/>
      <c r="I438" s="234"/>
      <c r="J438" s="234"/>
      <c r="K438" s="234"/>
      <c r="L438" s="234"/>
      <c r="M438" s="234"/>
      <c r="N438" s="234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64"/>
      <c r="AQ438" s="65"/>
      <c r="AR438" s="65"/>
      <c r="AS438" s="65"/>
      <c r="AT438" s="65"/>
      <c r="AU438" s="65"/>
      <c r="AV438" s="65"/>
      <c r="AW438" s="65"/>
      <c r="AX438" s="13"/>
      <c r="AY438" s="22"/>
      <c r="AZ438" s="22"/>
      <c r="BA438" s="22"/>
      <c r="BB438" s="22"/>
      <c r="BC438" s="22"/>
      <c r="BD438" s="22"/>
      <c r="BE438" s="22"/>
      <c r="BF438" s="22"/>
      <c r="BG438" s="64"/>
      <c r="BH438" s="64"/>
    </row>
    <row r="439" spans="1:60" ht="14.25" customHeight="1" x14ac:dyDescent="0.25">
      <c r="A439" s="64"/>
      <c r="B439" s="64"/>
      <c r="C439" s="234"/>
      <c r="D439" s="234"/>
      <c r="E439" s="234"/>
      <c r="F439" s="234"/>
      <c r="G439" s="234"/>
      <c r="H439" s="234"/>
      <c r="I439" s="234"/>
      <c r="J439" s="234"/>
      <c r="K439" s="234"/>
      <c r="L439" s="234"/>
      <c r="M439" s="234"/>
      <c r="N439" s="234"/>
      <c r="O439" s="68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/>
      <c r="AD439" s="64"/>
      <c r="AE439" s="235" t="s">
        <v>331</v>
      </c>
      <c r="AF439" s="236"/>
      <c r="AG439" s="236"/>
      <c r="AH439" s="236"/>
      <c r="AI439" s="236"/>
      <c r="AJ439" s="236"/>
      <c r="AK439" s="236"/>
      <c r="AL439" s="236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/>
      <c r="BB439" s="64"/>
      <c r="BC439" s="64"/>
      <c r="BD439" s="64"/>
      <c r="BE439" s="64"/>
      <c r="BF439" s="64"/>
      <c r="BG439" s="64"/>
      <c r="BH439" s="64"/>
    </row>
    <row r="440" spans="1:60" ht="14.25" customHeight="1" x14ac:dyDescent="0.25">
      <c r="A440" s="64"/>
      <c r="B440" s="64"/>
      <c r="C440" s="237" t="s">
        <v>315</v>
      </c>
      <c r="D440" s="237"/>
      <c r="E440" s="237"/>
      <c r="F440" s="237"/>
      <c r="G440" s="237"/>
      <c r="H440" s="237"/>
      <c r="I440" s="237"/>
      <c r="J440" s="237"/>
      <c r="K440" s="238"/>
      <c r="L440" s="115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7"/>
      <c r="AD440" s="64"/>
      <c r="AE440" s="236"/>
      <c r="AF440" s="236"/>
      <c r="AG440" s="236"/>
      <c r="AH440" s="236"/>
      <c r="AI440" s="236"/>
      <c r="AJ440" s="236"/>
      <c r="AK440" s="236"/>
      <c r="AL440" s="236"/>
      <c r="AM440" s="115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7"/>
      <c r="BG440" s="64"/>
      <c r="BH440" s="64"/>
    </row>
    <row r="441" spans="1:60" ht="14.25" customHeight="1" x14ac:dyDescent="0.25">
      <c r="A441" s="64"/>
      <c r="B441" s="64"/>
      <c r="C441" s="237"/>
      <c r="D441" s="237"/>
      <c r="E441" s="237"/>
      <c r="F441" s="237"/>
      <c r="G441" s="237"/>
      <c r="H441" s="237"/>
      <c r="I441" s="237"/>
      <c r="J441" s="237"/>
      <c r="K441" s="238"/>
      <c r="L441" s="118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  <c r="AA441" s="119"/>
      <c r="AB441" s="119"/>
      <c r="AC441" s="120"/>
      <c r="AD441" s="64"/>
      <c r="AE441" s="236"/>
      <c r="AF441" s="236"/>
      <c r="AG441" s="236"/>
      <c r="AH441" s="236"/>
      <c r="AI441" s="236"/>
      <c r="AJ441" s="236"/>
      <c r="AK441" s="236"/>
      <c r="AL441" s="236"/>
      <c r="AM441" s="118"/>
      <c r="AN441" s="119"/>
      <c r="AO441" s="119"/>
      <c r="AP441" s="119"/>
      <c r="AQ441" s="119"/>
      <c r="AR441" s="119"/>
      <c r="AS441" s="119"/>
      <c r="AT441" s="119"/>
      <c r="AU441" s="119"/>
      <c r="AV441" s="119"/>
      <c r="AW441" s="119"/>
      <c r="AX441" s="119"/>
      <c r="AY441" s="119"/>
      <c r="AZ441" s="119"/>
      <c r="BA441" s="119"/>
      <c r="BB441" s="119"/>
      <c r="BC441" s="119"/>
      <c r="BD441" s="119"/>
      <c r="BE441" s="119"/>
      <c r="BF441" s="120"/>
      <c r="BG441" s="64"/>
      <c r="BH441" s="64"/>
    </row>
    <row r="442" spans="1:60" ht="14.25" customHeight="1" x14ac:dyDescent="0.25">
      <c r="A442" s="64"/>
      <c r="B442" s="64"/>
      <c r="C442" s="64"/>
      <c r="D442" s="64"/>
      <c r="E442" s="64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64"/>
      <c r="Q442" s="64"/>
      <c r="R442" s="64"/>
      <c r="S442" s="64"/>
      <c r="T442" s="64"/>
      <c r="U442" s="64"/>
      <c r="V442" s="64"/>
      <c r="W442" s="64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226" t="s">
        <v>316</v>
      </c>
      <c r="AP442" s="227"/>
      <c r="AQ442" s="227"/>
      <c r="AR442" s="227"/>
      <c r="AS442" s="227"/>
      <c r="AT442" s="64"/>
      <c r="AU442" s="64"/>
      <c r="AV442" s="64"/>
      <c r="AW442" s="64"/>
      <c r="AX442" s="64"/>
      <c r="AY442" s="64"/>
      <c r="AZ442" s="64"/>
      <c r="BA442" s="64"/>
      <c r="BB442" s="64"/>
      <c r="BC442" s="64"/>
      <c r="BD442" s="64"/>
      <c r="BE442" s="64"/>
      <c r="BF442" s="64"/>
      <c r="BG442" s="64"/>
      <c r="BH442" s="64"/>
    </row>
    <row r="443" spans="1:60" ht="14.25" customHeight="1" x14ac:dyDescent="0.25">
      <c r="A443" s="64"/>
      <c r="B443" s="64"/>
      <c r="C443" s="143" t="s">
        <v>332</v>
      </c>
      <c r="D443" s="143"/>
      <c r="E443" s="143"/>
      <c r="F443" s="200"/>
      <c r="G443" s="64"/>
      <c r="H443" s="64"/>
      <c r="I443" s="115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7"/>
      <c r="AD443" s="64"/>
      <c r="AE443" s="64"/>
      <c r="AF443" s="64"/>
      <c r="AG443" s="143" t="s">
        <v>317</v>
      </c>
      <c r="AH443" s="200"/>
      <c r="AI443" s="200"/>
      <c r="AJ443" s="218"/>
      <c r="AK443" s="122"/>
      <c r="AL443" s="123"/>
      <c r="AM443" s="123"/>
      <c r="AN443" s="124"/>
      <c r="AO443" s="228"/>
      <c r="AP443" s="228"/>
      <c r="AQ443" s="228"/>
      <c r="AR443" s="228"/>
      <c r="AS443" s="228"/>
      <c r="AT443" s="122"/>
      <c r="AU443" s="123"/>
      <c r="AV443" s="123"/>
      <c r="AW443" s="124"/>
      <c r="AX443" s="229" t="s">
        <v>318</v>
      </c>
      <c r="AY443" s="230"/>
      <c r="AZ443" s="230"/>
      <c r="BA443" s="230"/>
      <c r="BB443" s="231"/>
      <c r="BC443" s="122"/>
      <c r="BD443" s="123"/>
      <c r="BE443" s="123"/>
      <c r="BF443" s="124"/>
      <c r="BG443" s="64"/>
      <c r="BH443" s="64"/>
    </row>
    <row r="444" spans="1:60" ht="14.25" customHeight="1" x14ac:dyDescent="0.25">
      <c r="A444" s="64"/>
      <c r="B444" s="64"/>
      <c r="C444" s="143"/>
      <c r="D444" s="143"/>
      <c r="E444" s="143"/>
      <c r="F444" s="200"/>
      <c r="G444" s="64"/>
      <c r="H444" s="64"/>
      <c r="I444" s="118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  <c r="AA444" s="119"/>
      <c r="AB444" s="119"/>
      <c r="AC444" s="120"/>
      <c r="AD444" s="64"/>
      <c r="AE444" s="64"/>
      <c r="AF444" s="64"/>
      <c r="AG444" s="200"/>
      <c r="AH444" s="200"/>
      <c r="AI444" s="200"/>
      <c r="AJ444" s="218"/>
      <c r="AK444" s="125"/>
      <c r="AL444" s="126"/>
      <c r="AM444" s="126"/>
      <c r="AN444" s="127"/>
      <c r="AO444" s="228"/>
      <c r="AP444" s="228"/>
      <c r="AQ444" s="228"/>
      <c r="AR444" s="228"/>
      <c r="AS444" s="228"/>
      <c r="AT444" s="125"/>
      <c r="AU444" s="126"/>
      <c r="AV444" s="126"/>
      <c r="AW444" s="127"/>
      <c r="AX444" s="232"/>
      <c r="AY444" s="230"/>
      <c r="AZ444" s="230"/>
      <c r="BA444" s="230"/>
      <c r="BB444" s="231"/>
      <c r="BC444" s="125"/>
      <c r="BD444" s="126"/>
      <c r="BE444" s="126"/>
      <c r="BF444" s="127"/>
      <c r="BG444" s="64"/>
      <c r="BH444" s="64"/>
    </row>
    <row r="445" spans="1:60" ht="14.25" customHeight="1" x14ac:dyDescent="0.25">
      <c r="A445" s="64"/>
      <c r="B445" s="64"/>
      <c r="C445" s="64"/>
      <c r="D445" s="64"/>
      <c r="E445" s="64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64"/>
      <c r="Q445" s="64"/>
      <c r="R445" s="64"/>
      <c r="S445" s="64"/>
      <c r="T445" s="64"/>
      <c r="U445" s="64"/>
      <c r="V445" s="64"/>
      <c r="W445" s="64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/>
      <c r="BB445" s="64"/>
      <c r="BC445" s="64"/>
      <c r="BD445" s="64"/>
      <c r="BE445" s="64"/>
      <c r="BF445" s="64"/>
      <c r="BG445" s="64"/>
      <c r="BH445" s="64"/>
    </row>
    <row r="446" spans="1:60" ht="14.25" customHeight="1" x14ac:dyDescent="0.25">
      <c r="A446" s="64"/>
      <c r="B446" s="64"/>
      <c r="C446" s="64"/>
      <c r="D446" s="64"/>
      <c r="E446" s="64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64"/>
      <c r="Q446" s="64"/>
      <c r="R446" s="64"/>
      <c r="S446" s="64"/>
      <c r="T446" s="64"/>
      <c r="U446" s="64"/>
      <c r="V446" s="64"/>
      <c r="W446" s="64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/>
      <c r="BB446" s="64"/>
      <c r="BC446" s="64"/>
      <c r="BD446" s="64"/>
      <c r="BE446" s="64"/>
      <c r="BF446" s="64"/>
      <c r="BG446" s="64"/>
      <c r="BH446" s="64"/>
    </row>
    <row r="447" spans="1:60" ht="14.25" customHeight="1" x14ac:dyDescent="0.25">
      <c r="A447" s="64"/>
      <c r="B447" s="64"/>
      <c r="C447" s="64"/>
      <c r="D447" s="64"/>
      <c r="E447" s="64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64"/>
      <c r="Q447" s="64"/>
      <c r="R447" s="64"/>
      <c r="S447" s="64"/>
      <c r="T447" s="64"/>
      <c r="U447" s="64"/>
      <c r="V447" s="64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/>
      <c r="BB447" s="64"/>
      <c r="BC447" s="64"/>
      <c r="BD447" s="64"/>
      <c r="BE447" s="64"/>
      <c r="BF447" s="64"/>
      <c r="BG447" s="64"/>
      <c r="BH447" s="64"/>
    </row>
    <row r="448" spans="1:60" ht="14.25" customHeight="1" x14ac:dyDescent="0.25">
      <c r="A448" s="64"/>
      <c r="B448" s="64"/>
      <c r="C448" s="64"/>
      <c r="D448" s="64"/>
      <c r="E448" s="64"/>
      <c r="F448" s="64"/>
      <c r="G448" s="63" t="s">
        <v>18</v>
      </c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23" t="s">
        <v>19</v>
      </c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23" t="s">
        <v>20</v>
      </c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23" t="s">
        <v>21</v>
      </c>
      <c r="BA448" s="64"/>
      <c r="BB448" s="64"/>
      <c r="BC448" s="64"/>
      <c r="BD448" s="64"/>
      <c r="BE448" s="64"/>
      <c r="BF448" s="64"/>
      <c r="BG448" s="64"/>
      <c r="BH448" s="64"/>
    </row>
    <row r="449" spans="1:60" ht="14.25" customHeight="1" x14ac:dyDescent="0.25">
      <c r="A449" s="64"/>
      <c r="B449" s="64"/>
      <c r="C449" s="64"/>
      <c r="D449" s="64"/>
      <c r="E449" s="64"/>
      <c r="F449" s="64"/>
      <c r="G449" s="64"/>
      <c r="H449" s="64"/>
      <c r="I449" s="8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8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8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8"/>
      <c r="BA449" s="64"/>
      <c r="BB449" s="64"/>
      <c r="BC449" s="64"/>
      <c r="BD449" s="64"/>
      <c r="BE449" s="64"/>
      <c r="BF449" s="64"/>
      <c r="BG449" s="64"/>
      <c r="BH449" s="64"/>
    </row>
    <row r="450" spans="1:60" ht="14.25" customHeight="1" x14ac:dyDescent="0.25">
      <c r="A450" s="64"/>
      <c r="B450" s="64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9" t="s">
        <v>22</v>
      </c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/>
      <c r="BB450" s="64"/>
      <c r="BC450" s="64"/>
      <c r="BD450" s="64"/>
      <c r="BE450" s="64"/>
      <c r="BF450" s="64"/>
      <c r="BG450" s="64"/>
      <c r="BH450" s="64"/>
    </row>
    <row r="451" spans="1:60" ht="14.25" customHeight="1" x14ac:dyDescent="0.25">
      <c r="A451" s="64"/>
      <c r="B451" s="64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/>
      <c r="BB451" s="64"/>
      <c r="BC451" s="64"/>
      <c r="BD451" s="64"/>
      <c r="BE451" s="64"/>
      <c r="BF451" s="64"/>
      <c r="BG451" s="64"/>
      <c r="BH451" s="64"/>
    </row>
    <row r="452" spans="1:60" ht="14.25" customHeight="1" x14ac:dyDescent="0.25">
      <c r="A452" s="64"/>
      <c r="B452" s="64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9"/>
      <c r="N452" s="69"/>
      <c r="O452" s="69"/>
      <c r="P452" s="69"/>
      <c r="Q452" s="69"/>
      <c r="R452" s="69"/>
      <c r="S452" s="69"/>
      <c r="T452" s="69"/>
      <c r="U452" s="69"/>
      <c r="V452" s="69"/>
      <c r="W452" s="69"/>
      <c r="X452" s="69"/>
      <c r="Y452" s="69"/>
      <c r="Z452" s="69"/>
      <c r="AA452" s="69"/>
      <c r="AB452" s="69"/>
      <c r="AC452" s="69"/>
      <c r="AD452" s="69"/>
      <c r="AE452" s="69"/>
      <c r="AF452" s="69"/>
      <c r="AG452" s="69"/>
      <c r="AH452" s="69"/>
      <c r="AI452" s="69"/>
      <c r="AJ452" s="69"/>
      <c r="AK452" s="69"/>
      <c r="AL452" s="69"/>
      <c r="AM452" s="69"/>
      <c r="AN452" s="69"/>
      <c r="AO452" s="69"/>
      <c r="AP452" s="69"/>
      <c r="AQ452" s="69"/>
      <c r="AR452" s="69"/>
      <c r="AS452" s="69"/>
      <c r="AT452" s="69"/>
      <c r="AU452" s="69"/>
      <c r="AV452" s="69"/>
      <c r="AW452" s="69"/>
      <c r="AX452" s="64"/>
      <c r="AY452" s="64"/>
      <c r="AZ452" s="64"/>
      <c r="BA452" s="64"/>
      <c r="BB452" s="64"/>
      <c r="BC452" s="64"/>
      <c r="BD452" s="64"/>
      <c r="BE452" s="64"/>
      <c r="BF452" s="64"/>
      <c r="BG452" s="64"/>
      <c r="BH452" s="64"/>
    </row>
    <row r="453" spans="1:60" ht="14.25" customHeight="1" x14ac:dyDescent="0.25">
      <c r="A453" s="64"/>
      <c r="B453" s="64"/>
      <c r="C453" s="160" t="s">
        <v>319</v>
      </c>
      <c r="D453" s="160"/>
      <c r="E453" s="160"/>
      <c r="F453" s="160"/>
      <c r="G453" s="160"/>
      <c r="H453" s="160"/>
      <c r="I453" s="160"/>
      <c r="J453" s="160"/>
      <c r="K453" s="160"/>
      <c r="L453" s="160"/>
      <c r="M453" s="160"/>
      <c r="N453" s="180"/>
      <c r="O453" s="218"/>
      <c r="P453" s="115"/>
      <c r="Q453" s="212"/>
      <c r="R453" s="212"/>
      <c r="S453" s="212"/>
      <c r="T453" s="213"/>
      <c r="U453" s="9"/>
      <c r="V453" s="146" t="s">
        <v>320</v>
      </c>
      <c r="W453" s="146"/>
      <c r="X453" s="146"/>
      <c r="Y453" s="146"/>
      <c r="Z453" s="146"/>
      <c r="AA453" s="146"/>
      <c r="AB453" s="146"/>
      <c r="AC453" s="220"/>
      <c r="AD453" s="115"/>
      <c r="AE453" s="116"/>
      <c r="AF453" s="116"/>
      <c r="AG453" s="116"/>
      <c r="AH453" s="116"/>
      <c r="AI453" s="116"/>
      <c r="AJ453" s="116"/>
      <c r="AK453" s="117"/>
      <c r="AL453" s="64"/>
      <c r="AM453" s="64"/>
      <c r="AN453" s="64"/>
      <c r="AO453" s="64"/>
      <c r="AP453" s="64"/>
      <c r="AQ453" s="64"/>
      <c r="AR453" s="221" t="s">
        <v>321</v>
      </c>
      <c r="AS453" s="221"/>
      <c r="AT453" s="221"/>
      <c r="AU453" s="221"/>
      <c r="AV453" s="221"/>
      <c r="AW453" s="64"/>
      <c r="AX453" s="64"/>
      <c r="AY453" s="201"/>
      <c r="AZ453" s="202"/>
      <c r="BA453" s="202"/>
      <c r="BB453" s="202"/>
      <c r="BC453" s="202"/>
      <c r="BD453" s="202"/>
      <c r="BE453" s="202"/>
      <c r="BF453" s="203"/>
      <c r="BG453" s="64"/>
      <c r="BH453" s="64"/>
    </row>
    <row r="454" spans="1:60" ht="14.25" customHeight="1" x14ac:dyDescent="0.25">
      <c r="A454" s="64"/>
      <c r="B454" s="64"/>
      <c r="C454" s="160"/>
      <c r="D454" s="160"/>
      <c r="E454" s="160"/>
      <c r="F454" s="160"/>
      <c r="G454" s="160"/>
      <c r="H454" s="160"/>
      <c r="I454" s="160"/>
      <c r="J454" s="160"/>
      <c r="K454" s="160"/>
      <c r="L454" s="160"/>
      <c r="M454" s="160"/>
      <c r="N454" s="180"/>
      <c r="O454" s="218"/>
      <c r="P454" s="214"/>
      <c r="Q454" s="215"/>
      <c r="R454" s="215"/>
      <c r="S454" s="215"/>
      <c r="T454" s="216"/>
      <c r="U454" s="10"/>
      <c r="V454" s="146"/>
      <c r="W454" s="146"/>
      <c r="X454" s="146"/>
      <c r="Y454" s="146"/>
      <c r="Z454" s="146"/>
      <c r="AA454" s="146"/>
      <c r="AB454" s="146"/>
      <c r="AC454" s="220"/>
      <c r="AD454" s="118"/>
      <c r="AE454" s="119"/>
      <c r="AF454" s="119"/>
      <c r="AG454" s="119"/>
      <c r="AH454" s="119"/>
      <c r="AI454" s="119"/>
      <c r="AJ454" s="119"/>
      <c r="AK454" s="120"/>
      <c r="AL454" s="10"/>
      <c r="AM454" s="10"/>
      <c r="AN454" s="10"/>
      <c r="AO454" s="10"/>
      <c r="AP454" s="10"/>
      <c r="AQ454" s="10"/>
      <c r="AR454" s="221"/>
      <c r="AS454" s="221"/>
      <c r="AT454" s="221"/>
      <c r="AU454" s="221"/>
      <c r="AV454" s="221"/>
      <c r="AW454" s="10"/>
      <c r="AX454" s="69"/>
      <c r="AY454" s="204"/>
      <c r="AZ454" s="205"/>
      <c r="BA454" s="205"/>
      <c r="BB454" s="205"/>
      <c r="BC454" s="205"/>
      <c r="BD454" s="205"/>
      <c r="BE454" s="205"/>
      <c r="BF454" s="206"/>
      <c r="BG454" s="64"/>
      <c r="BH454" s="64"/>
    </row>
    <row r="455" spans="1:60" ht="14.25" customHeight="1" x14ac:dyDescent="0.25">
      <c r="A455" s="64"/>
      <c r="B455" s="64"/>
      <c r="C455" s="64"/>
      <c r="D455" s="64"/>
      <c r="E455" s="64"/>
      <c r="F455" s="64"/>
      <c r="G455" s="64"/>
      <c r="H455" s="64"/>
      <c r="I455" s="64"/>
      <c r="J455" s="64"/>
      <c r="K455" s="64"/>
      <c r="L455" s="69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/>
      <c r="BB455" s="64"/>
      <c r="BC455" s="64"/>
      <c r="BD455" s="64"/>
      <c r="BE455" s="64"/>
      <c r="BF455" s="64"/>
      <c r="BG455" s="64"/>
      <c r="BH455" s="64"/>
    </row>
    <row r="456" spans="1:60" ht="14.25" customHeight="1" x14ac:dyDescent="0.25">
      <c r="A456" s="64"/>
      <c r="B456" s="64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/>
      <c r="BB456" s="64"/>
      <c r="BC456" s="64"/>
      <c r="BD456" s="64"/>
      <c r="BE456" s="64"/>
      <c r="BF456" s="64"/>
      <c r="BG456" s="64"/>
      <c r="BH456" s="64"/>
    </row>
    <row r="457" spans="1:60" ht="14.25" customHeight="1" x14ac:dyDescent="0.25">
      <c r="A457" s="64"/>
      <c r="B457" s="64"/>
      <c r="C457" s="143" t="s">
        <v>322</v>
      </c>
      <c r="D457" s="143"/>
      <c r="E457" s="143"/>
      <c r="F457" s="143"/>
      <c r="G457" s="211"/>
      <c r="H457" s="200"/>
      <c r="I457" s="218"/>
      <c r="J457" s="115"/>
      <c r="K457" s="212"/>
      <c r="L457" s="212"/>
      <c r="M457" s="212"/>
      <c r="N457" s="212"/>
      <c r="O457" s="212"/>
      <c r="P457" s="212"/>
      <c r="Q457" s="212"/>
      <c r="R457" s="212"/>
      <c r="S457" s="212"/>
      <c r="T457" s="212"/>
      <c r="U457" s="212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12"/>
      <c r="AF457" s="212"/>
      <c r="AG457" s="212"/>
      <c r="AH457" s="212"/>
      <c r="AI457" s="212"/>
      <c r="AJ457" s="212"/>
      <c r="AK457" s="212"/>
      <c r="AL457" s="212"/>
      <c r="AM457" s="212"/>
      <c r="AN457" s="213"/>
      <c r="AO457" s="64"/>
      <c r="AP457" s="163" t="s">
        <v>323</v>
      </c>
      <c r="AQ457" s="163"/>
      <c r="AR457" s="163"/>
      <c r="AS457" s="163"/>
      <c r="AT457" s="163"/>
      <c r="AU457" s="163"/>
      <c r="AV457" s="163"/>
      <c r="AW457" s="200"/>
      <c r="AX457" s="218"/>
      <c r="AY457" s="115"/>
      <c r="AZ457" s="116"/>
      <c r="BA457" s="116"/>
      <c r="BB457" s="116"/>
      <c r="BC457" s="116"/>
      <c r="BD457" s="116"/>
      <c r="BE457" s="116"/>
      <c r="BF457" s="117"/>
      <c r="BG457" s="64"/>
      <c r="BH457" s="64"/>
    </row>
    <row r="458" spans="1:60" ht="14.25" customHeight="1" x14ac:dyDescent="0.25">
      <c r="A458" s="69"/>
      <c r="B458" s="69"/>
      <c r="C458" s="143"/>
      <c r="D458" s="143"/>
      <c r="E458" s="143"/>
      <c r="F458" s="143"/>
      <c r="G458" s="211"/>
      <c r="H458" s="200"/>
      <c r="I458" s="218"/>
      <c r="J458" s="214"/>
      <c r="K458" s="215"/>
      <c r="L458" s="215"/>
      <c r="M458" s="215"/>
      <c r="N458" s="215"/>
      <c r="O458" s="215"/>
      <c r="P458" s="215"/>
      <c r="Q458" s="215"/>
      <c r="R458" s="215"/>
      <c r="S458" s="215"/>
      <c r="T458" s="215"/>
      <c r="U458" s="215"/>
      <c r="V458" s="215"/>
      <c r="W458" s="215"/>
      <c r="X458" s="215"/>
      <c r="Y458" s="215"/>
      <c r="Z458" s="215"/>
      <c r="AA458" s="215"/>
      <c r="AB458" s="215"/>
      <c r="AC458" s="215"/>
      <c r="AD458" s="215"/>
      <c r="AE458" s="215"/>
      <c r="AF458" s="215"/>
      <c r="AG458" s="215"/>
      <c r="AH458" s="215"/>
      <c r="AI458" s="215"/>
      <c r="AJ458" s="215"/>
      <c r="AK458" s="215"/>
      <c r="AL458" s="215"/>
      <c r="AM458" s="215"/>
      <c r="AN458" s="216"/>
      <c r="AO458" s="64"/>
      <c r="AP458" s="163"/>
      <c r="AQ458" s="163"/>
      <c r="AR458" s="163"/>
      <c r="AS458" s="163"/>
      <c r="AT458" s="163"/>
      <c r="AU458" s="163"/>
      <c r="AV458" s="163"/>
      <c r="AW458" s="200"/>
      <c r="AX458" s="218"/>
      <c r="AY458" s="118"/>
      <c r="AZ458" s="119"/>
      <c r="BA458" s="119"/>
      <c r="BB458" s="119"/>
      <c r="BC458" s="119"/>
      <c r="BD458" s="119"/>
      <c r="BE458" s="119"/>
      <c r="BF458" s="120"/>
      <c r="BG458" s="69"/>
      <c r="BH458" s="69"/>
    </row>
    <row r="459" spans="1:60" ht="14.25" customHeight="1" x14ac:dyDescent="0.25">
      <c r="A459" s="69"/>
      <c r="B459" s="69"/>
      <c r="C459" s="69"/>
      <c r="D459" s="69"/>
      <c r="E459" s="69"/>
      <c r="F459" s="69"/>
      <c r="G459" s="69"/>
      <c r="H459" s="69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9"/>
      <c r="U459" s="69"/>
      <c r="V459" s="69"/>
      <c r="W459" s="69"/>
      <c r="X459" s="69"/>
      <c r="Y459" s="69"/>
      <c r="Z459" s="69"/>
      <c r="AA459" s="69"/>
      <c r="AB459" s="69"/>
      <c r="AC459" s="69"/>
      <c r="AD459" s="69"/>
      <c r="AE459" s="69"/>
      <c r="AF459" s="69"/>
      <c r="AG459" s="69"/>
      <c r="AH459" s="69"/>
      <c r="AI459" s="69"/>
      <c r="AJ459" s="69"/>
      <c r="AK459" s="69"/>
      <c r="AL459" s="69"/>
      <c r="AM459" s="69"/>
      <c r="AN459" s="69"/>
      <c r="AO459" s="69"/>
      <c r="AP459" s="69"/>
      <c r="AQ459" s="69"/>
      <c r="AR459" s="69"/>
      <c r="AS459" s="69"/>
      <c r="AT459" s="69"/>
      <c r="AU459" s="69"/>
      <c r="AV459" s="69"/>
      <c r="AW459" s="69"/>
      <c r="AX459" s="69"/>
      <c r="AY459" s="69"/>
      <c r="AZ459" s="69"/>
      <c r="BA459" s="69"/>
      <c r="BB459" s="69"/>
      <c r="BC459" s="69"/>
      <c r="BD459" s="69"/>
      <c r="BE459" s="69"/>
      <c r="BF459" s="69"/>
      <c r="BG459" s="69"/>
      <c r="BH459" s="69"/>
    </row>
    <row r="460" spans="1:60" ht="14.25" customHeight="1" x14ac:dyDescent="0.25">
      <c r="A460" s="69"/>
      <c r="B460" s="69"/>
      <c r="C460" s="160" t="s">
        <v>324</v>
      </c>
      <c r="D460" s="160"/>
      <c r="E460" s="160"/>
      <c r="F460" s="160"/>
      <c r="G460" s="160"/>
      <c r="H460" s="160"/>
      <c r="I460" s="160"/>
      <c r="J460" s="160"/>
      <c r="K460" s="160"/>
      <c r="L460" s="160"/>
      <c r="M460" s="160"/>
      <c r="N460" s="160"/>
      <c r="O460" s="160"/>
      <c r="P460" s="160"/>
      <c r="Q460" s="160"/>
      <c r="R460" s="160"/>
      <c r="S460" s="160"/>
      <c r="T460" s="160"/>
      <c r="U460" s="160"/>
      <c r="V460" s="160"/>
      <c r="W460" s="180"/>
      <c r="X460" s="222"/>
      <c r="Y460" s="223"/>
      <c r="Z460" s="94"/>
      <c r="AA460" s="212"/>
      <c r="AB460" s="212"/>
      <c r="AC460" s="212"/>
      <c r="AD460" s="212"/>
      <c r="AE460" s="212"/>
      <c r="AF460" s="212"/>
      <c r="AG460" s="212"/>
      <c r="AH460" s="212"/>
      <c r="AI460" s="212"/>
      <c r="AJ460" s="212"/>
      <c r="AK460" s="212"/>
      <c r="AL460" s="212"/>
      <c r="AM460" s="212"/>
      <c r="AN460" s="212"/>
      <c r="AO460" s="212"/>
      <c r="AP460" s="212"/>
      <c r="AQ460" s="212"/>
      <c r="AR460" s="212"/>
      <c r="AS460" s="212"/>
      <c r="AT460" s="212"/>
      <c r="AU460" s="212"/>
      <c r="AV460" s="212"/>
      <c r="AW460" s="212"/>
      <c r="AX460" s="212"/>
      <c r="AY460" s="212"/>
      <c r="AZ460" s="212"/>
      <c r="BA460" s="212"/>
      <c r="BB460" s="212"/>
      <c r="BC460" s="212"/>
      <c r="BD460" s="212"/>
      <c r="BE460" s="212"/>
      <c r="BF460" s="212"/>
      <c r="BG460" s="26"/>
      <c r="BH460" s="25"/>
    </row>
    <row r="461" spans="1:60" ht="14.25" customHeight="1" x14ac:dyDescent="0.25">
      <c r="A461" s="69"/>
      <c r="B461" s="69"/>
      <c r="C461" s="160"/>
      <c r="D461" s="160"/>
      <c r="E461" s="160"/>
      <c r="F461" s="160"/>
      <c r="G461" s="160"/>
      <c r="H461" s="160"/>
      <c r="I461" s="160"/>
      <c r="J461" s="160"/>
      <c r="K461" s="160"/>
      <c r="L461" s="160"/>
      <c r="M461" s="160"/>
      <c r="N461" s="160"/>
      <c r="O461" s="160"/>
      <c r="P461" s="160"/>
      <c r="Q461" s="160"/>
      <c r="R461" s="160"/>
      <c r="S461" s="160"/>
      <c r="T461" s="160"/>
      <c r="U461" s="160"/>
      <c r="V461" s="160"/>
      <c r="W461" s="180"/>
      <c r="X461" s="222"/>
      <c r="Y461" s="223"/>
      <c r="Z461" s="214"/>
      <c r="AA461" s="215"/>
      <c r="AB461" s="215"/>
      <c r="AC461" s="215"/>
      <c r="AD461" s="215"/>
      <c r="AE461" s="215"/>
      <c r="AF461" s="215"/>
      <c r="AG461" s="215"/>
      <c r="AH461" s="215"/>
      <c r="AI461" s="215"/>
      <c r="AJ461" s="215"/>
      <c r="AK461" s="215"/>
      <c r="AL461" s="215"/>
      <c r="AM461" s="215"/>
      <c r="AN461" s="215"/>
      <c r="AO461" s="215"/>
      <c r="AP461" s="215"/>
      <c r="AQ461" s="215"/>
      <c r="AR461" s="215"/>
      <c r="AS461" s="215"/>
      <c r="AT461" s="215"/>
      <c r="AU461" s="215"/>
      <c r="AV461" s="215"/>
      <c r="AW461" s="215"/>
      <c r="AX461" s="215"/>
      <c r="AY461" s="215"/>
      <c r="AZ461" s="215"/>
      <c r="BA461" s="215"/>
      <c r="BB461" s="215"/>
      <c r="BC461" s="215"/>
      <c r="BD461" s="215"/>
      <c r="BE461" s="215"/>
      <c r="BF461" s="215"/>
      <c r="BG461" s="26"/>
      <c r="BH461" s="25"/>
    </row>
    <row r="462" spans="1:60" ht="14.25" customHeight="1" x14ac:dyDescent="0.25">
      <c r="A462" s="69"/>
      <c r="B462" s="69"/>
      <c r="C462" s="63"/>
      <c r="D462" s="63"/>
      <c r="E462" s="63"/>
      <c r="F462" s="63"/>
      <c r="G462" s="63"/>
      <c r="H462" s="6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69"/>
      <c r="AE462" s="69"/>
      <c r="AF462" s="63"/>
      <c r="AG462" s="63"/>
      <c r="AH462" s="63"/>
      <c r="AI462" s="63"/>
      <c r="AJ462" s="63"/>
      <c r="AK462" s="63"/>
      <c r="AL462" s="25"/>
      <c r="AM462" s="25"/>
      <c r="AN462" s="25"/>
      <c r="AO462" s="25"/>
      <c r="AP462" s="25"/>
      <c r="AQ462" s="69"/>
      <c r="AR462" s="66"/>
      <c r="AS462" s="66"/>
      <c r="AT462" s="66"/>
      <c r="AU462" s="66"/>
      <c r="AV462" s="66"/>
      <c r="AW462" s="23"/>
      <c r="AX462" s="23"/>
      <c r="AY462" s="23"/>
      <c r="AZ462" s="23"/>
      <c r="BA462" s="23"/>
      <c r="BB462" s="23"/>
      <c r="BC462" s="23"/>
      <c r="BD462" s="23"/>
      <c r="BE462" s="23"/>
      <c r="BF462" s="23"/>
      <c r="BG462" s="69"/>
      <c r="BH462" s="69"/>
    </row>
    <row r="463" spans="1:60" ht="14.25" customHeight="1" x14ac:dyDescent="0.25">
      <c r="A463" s="69"/>
      <c r="B463" s="69"/>
      <c r="C463" s="160" t="s">
        <v>328</v>
      </c>
      <c r="D463" s="160"/>
      <c r="E463" s="160"/>
      <c r="F463" s="160"/>
      <c r="G463" s="160"/>
      <c r="H463" s="160"/>
      <c r="I463" s="160"/>
      <c r="J463" s="160"/>
      <c r="K463" s="160"/>
      <c r="L463" s="160"/>
      <c r="M463" s="160"/>
      <c r="N463" s="160"/>
      <c r="O463" s="160"/>
      <c r="P463" s="160"/>
      <c r="Q463" s="160"/>
      <c r="R463" s="160"/>
      <c r="S463" s="160"/>
      <c r="T463" s="160"/>
      <c r="U463" s="160"/>
      <c r="V463" s="160"/>
      <c r="W463" s="180"/>
      <c r="X463" s="222"/>
      <c r="Y463" s="24"/>
      <c r="Z463" s="94"/>
      <c r="AA463" s="212"/>
      <c r="AB463" s="212"/>
      <c r="AC463" s="212"/>
      <c r="AD463" s="212"/>
      <c r="AE463" s="212"/>
      <c r="AF463" s="212"/>
      <c r="AG463" s="212"/>
      <c r="AH463" s="212"/>
      <c r="AI463" s="212"/>
      <c r="AJ463" s="212"/>
      <c r="AK463" s="212"/>
      <c r="AL463" s="212"/>
      <c r="AM463" s="212"/>
      <c r="AN463" s="212"/>
      <c r="AO463" s="212"/>
      <c r="AP463" s="212"/>
      <c r="AQ463" s="212"/>
      <c r="AR463" s="212"/>
      <c r="AS463" s="212"/>
      <c r="AT463" s="212"/>
      <c r="AU463" s="212"/>
      <c r="AV463" s="212"/>
      <c r="AW463" s="212"/>
      <c r="AX463" s="212"/>
      <c r="AY463" s="212"/>
      <c r="AZ463" s="212"/>
      <c r="BA463" s="212"/>
      <c r="BB463" s="212"/>
      <c r="BC463" s="212"/>
      <c r="BD463" s="212"/>
      <c r="BE463" s="212"/>
      <c r="BF463" s="213"/>
      <c r="BG463" s="26"/>
      <c r="BH463" s="25"/>
    </row>
    <row r="464" spans="1:60" ht="14.25" customHeight="1" x14ac:dyDescent="0.25">
      <c r="A464" s="69"/>
      <c r="B464" s="69"/>
      <c r="C464" s="160"/>
      <c r="D464" s="160"/>
      <c r="E464" s="160"/>
      <c r="F464" s="160"/>
      <c r="G464" s="160"/>
      <c r="H464" s="160"/>
      <c r="I464" s="160"/>
      <c r="J464" s="160"/>
      <c r="K464" s="160"/>
      <c r="L464" s="160"/>
      <c r="M464" s="160"/>
      <c r="N464" s="160"/>
      <c r="O464" s="160"/>
      <c r="P464" s="160"/>
      <c r="Q464" s="160"/>
      <c r="R464" s="160"/>
      <c r="S464" s="160"/>
      <c r="T464" s="160"/>
      <c r="U464" s="160"/>
      <c r="V464" s="160"/>
      <c r="W464" s="180"/>
      <c r="X464" s="222"/>
      <c r="Y464" s="24"/>
      <c r="Z464" s="214"/>
      <c r="AA464" s="215"/>
      <c r="AB464" s="215"/>
      <c r="AC464" s="215"/>
      <c r="AD464" s="215"/>
      <c r="AE464" s="215"/>
      <c r="AF464" s="215"/>
      <c r="AG464" s="215"/>
      <c r="AH464" s="215"/>
      <c r="AI464" s="215"/>
      <c r="AJ464" s="215"/>
      <c r="AK464" s="215"/>
      <c r="AL464" s="215"/>
      <c r="AM464" s="215"/>
      <c r="AN464" s="215"/>
      <c r="AO464" s="215"/>
      <c r="AP464" s="215"/>
      <c r="AQ464" s="215"/>
      <c r="AR464" s="215"/>
      <c r="AS464" s="215"/>
      <c r="AT464" s="215"/>
      <c r="AU464" s="215"/>
      <c r="AV464" s="215"/>
      <c r="AW464" s="215"/>
      <c r="AX464" s="215"/>
      <c r="AY464" s="215"/>
      <c r="AZ464" s="215"/>
      <c r="BA464" s="215"/>
      <c r="BB464" s="215"/>
      <c r="BC464" s="215"/>
      <c r="BD464" s="215"/>
      <c r="BE464" s="215"/>
      <c r="BF464" s="216"/>
      <c r="BG464" s="26"/>
      <c r="BH464" s="25"/>
    </row>
    <row r="465" spans="1:60" ht="14.25" customHeight="1" x14ac:dyDescent="0.25">
      <c r="A465" s="69"/>
      <c r="B465" s="69"/>
      <c r="C465" s="63"/>
      <c r="D465" s="63"/>
      <c r="E465" s="63"/>
      <c r="F465" s="63"/>
      <c r="G465" s="63"/>
      <c r="H465" s="69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69"/>
      <c r="AE465" s="69"/>
      <c r="AF465" s="63"/>
      <c r="AG465" s="63"/>
      <c r="AH465" s="63"/>
      <c r="AI465" s="63"/>
      <c r="AJ465" s="63"/>
      <c r="AK465" s="6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  <c r="BC465" s="23"/>
      <c r="BD465" s="23"/>
      <c r="BE465" s="23"/>
      <c r="BF465" s="23"/>
      <c r="BG465" s="69"/>
      <c r="BH465" s="69"/>
    </row>
    <row r="466" spans="1:60" ht="14.25" customHeight="1" x14ac:dyDescent="0.25">
      <c r="A466" s="69"/>
      <c r="B466" s="69"/>
      <c r="C466" s="63"/>
      <c r="D466" s="63"/>
      <c r="E466" s="63"/>
      <c r="F466" s="63"/>
      <c r="G466" s="63"/>
      <c r="H466" s="69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69"/>
      <c r="AE466" s="69"/>
      <c r="AF466" s="63"/>
      <c r="AG466" s="63"/>
      <c r="AH466" s="63"/>
      <c r="AI466" s="63"/>
      <c r="AJ466" s="63"/>
      <c r="AK466" s="6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  <c r="BC466" s="23"/>
      <c r="BD466" s="23"/>
      <c r="BE466" s="23"/>
      <c r="BF466" s="23"/>
      <c r="BG466" s="69"/>
      <c r="BH466" s="69"/>
    </row>
    <row r="467" spans="1:60" ht="14.25" customHeight="1" x14ac:dyDescent="0.25">
      <c r="A467" s="64"/>
      <c r="B467" s="64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22"/>
      <c r="AP467" s="64"/>
      <c r="AQ467" s="64"/>
      <c r="AR467" s="64"/>
      <c r="AS467" s="64"/>
      <c r="AT467" s="64"/>
      <c r="AU467" s="64"/>
      <c r="AV467" s="64"/>
      <c r="AW467" s="67"/>
      <c r="AX467" s="12"/>
      <c r="AY467" s="64"/>
      <c r="AZ467" s="64"/>
      <c r="BA467" s="64"/>
      <c r="BB467" s="64"/>
      <c r="BC467" s="64"/>
      <c r="BD467" s="64"/>
      <c r="BE467" s="64"/>
      <c r="BF467" s="64"/>
      <c r="BG467" s="64"/>
      <c r="BH467" s="64"/>
    </row>
    <row r="468" spans="1:60" ht="14.25" customHeight="1" x14ac:dyDescent="0.25">
      <c r="A468" s="64"/>
      <c r="B468" s="64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22"/>
      <c r="AP468" s="64"/>
      <c r="AQ468" s="64"/>
      <c r="AR468" s="64"/>
      <c r="AS468" s="64"/>
      <c r="AT468" s="64"/>
      <c r="AU468" s="64"/>
      <c r="AV468" s="64"/>
      <c r="AW468" s="67"/>
      <c r="AX468" s="12"/>
      <c r="AY468" s="64"/>
      <c r="AZ468" s="64"/>
      <c r="BA468" s="64"/>
      <c r="BB468" s="64"/>
      <c r="BC468" s="64"/>
      <c r="BD468" s="64"/>
      <c r="BE468" s="64"/>
      <c r="BF468" s="64"/>
      <c r="BG468" s="64"/>
      <c r="BH468" s="64"/>
    </row>
    <row r="469" spans="1:60" ht="14.25" customHeight="1" x14ac:dyDescent="0.25">
      <c r="A469" s="64"/>
      <c r="B469" s="64"/>
      <c r="C469" s="69"/>
      <c r="D469" s="69"/>
      <c r="E469" s="69"/>
      <c r="F469" s="69"/>
      <c r="G469" s="69"/>
      <c r="H469" s="69"/>
      <c r="I469" s="69"/>
      <c r="J469" s="69"/>
      <c r="K469" s="69"/>
      <c r="L469" s="69"/>
      <c r="M469" s="69"/>
      <c r="N469" s="69"/>
      <c r="O469" s="69"/>
      <c r="P469" s="69"/>
      <c r="Q469" s="69"/>
      <c r="R469" s="69"/>
      <c r="S469" s="69"/>
      <c r="T469" s="69"/>
      <c r="U469" s="69"/>
      <c r="V469" s="69"/>
      <c r="W469" s="69"/>
      <c r="X469" s="69"/>
      <c r="Y469" s="69"/>
      <c r="Z469" s="69"/>
      <c r="AA469" s="69"/>
      <c r="AB469" s="69"/>
      <c r="AC469" s="69"/>
      <c r="AD469" s="69"/>
      <c r="AE469" s="69"/>
      <c r="AF469" s="69"/>
      <c r="AG469" s="69"/>
      <c r="AH469" s="69"/>
      <c r="AI469" s="69"/>
      <c r="AJ469" s="69"/>
      <c r="AK469" s="69"/>
      <c r="AL469" s="69"/>
      <c r="AM469" s="69"/>
      <c r="AN469" s="69"/>
      <c r="AO469" s="69"/>
      <c r="AP469" s="69"/>
      <c r="AQ469" s="69"/>
      <c r="AR469" s="69"/>
      <c r="AS469" s="69"/>
      <c r="AT469" s="69"/>
      <c r="AU469" s="69"/>
      <c r="AV469" s="69"/>
      <c r="AW469" s="69"/>
      <c r="AX469" s="69"/>
      <c r="AY469" s="69"/>
      <c r="AZ469" s="69"/>
      <c r="BA469" s="69"/>
      <c r="BB469" s="69"/>
      <c r="BC469" s="69"/>
      <c r="BD469" s="69"/>
      <c r="BE469" s="69"/>
      <c r="BF469" s="69"/>
      <c r="BG469" s="64"/>
      <c r="BH469" s="64"/>
    </row>
    <row r="470" spans="1:60" ht="14.25" customHeight="1" x14ac:dyDescent="0.25">
      <c r="A470" s="64"/>
      <c r="B470" s="64"/>
      <c r="C470" s="69"/>
      <c r="D470" s="69"/>
      <c r="E470" s="69"/>
      <c r="F470" s="69"/>
      <c r="G470" s="69"/>
      <c r="H470" s="69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69"/>
      <c r="AQ470" s="65"/>
      <c r="AR470" s="65"/>
      <c r="AS470" s="65"/>
      <c r="AT470" s="65"/>
      <c r="AU470" s="65"/>
      <c r="AV470" s="65"/>
      <c r="AW470" s="65"/>
      <c r="AX470" s="13"/>
      <c r="AY470" s="22"/>
      <c r="AZ470" s="22"/>
      <c r="BA470" s="22"/>
      <c r="BB470" s="22"/>
      <c r="BC470" s="22"/>
      <c r="BD470" s="22"/>
      <c r="BE470" s="22"/>
      <c r="BF470" s="22"/>
      <c r="BG470" s="64"/>
      <c r="BH470" s="64"/>
    </row>
    <row r="471" spans="1:60" ht="14.25" customHeight="1" x14ac:dyDescent="0.25">
      <c r="A471" s="64"/>
      <c r="B471" s="64"/>
      <c r="C471" s="160" t="s">
        <v>325</v>
      </c>
      <c r="D471" s="224"/>
      <c r="E471" s="224"/>
      <c r="F471" s="224"/>
      <c r="G471" s="224"/>
      <c r="H471" s="224"/>
      <c r="I471" s="225"/>
      <c r="J471" s="115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7"/>
      <c r="BG471" s="64"/>
      <c r="BH471" s="64"/>
    </row>
    <row r="472" spans="1:60" ht="14.25" customHeight="1" x14ac:dyDescent="0.25">
      <c r="A472" s="64"/>
      <c r="B472" s="64"/>
      <c r="C472" s="224"/>
      <c r="D472" s="224"/>
      <c r="E472" s="224"/>
      <c r="F472" s="224"/>
      <c r="G472" s="224"/>
      <c r="H472" s="224"/>
      <c r="I472" s="225"/>
      <c r="J472" s="118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  <c r="AA472" s="119"/>
      <c r="AB472" s="119"/>
      <c r="AC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9"/>
      <c r="AT472" s="119"/>
      <c r="AU472" s="119"/>
      <c r="AV472" s="119"/>
      <c r="AW472" s="119"/>
      <c r="AX472" s="119"/>
      <c r="AY472" s="119"/>
      <c r="AZ472" s="119"/>
      <c r="BA472" s="119"/>
      <c r="BB472" s="119"/>
      <c r="BC472" s="119"/>
      <c r="BD472" s="119"/>
      <c r="BE472" s="119"/>
      <c r="BF472" s="120"/>
      <c r="BG472" s="64"/>
      <c r="BH472" s="64"/>
    </row>
    <row r="473" spans="1:60" ht="14.25" customHeight="1" x14ac:dyDescent="0.25">
      <c r="A473" s="64"/>
      <c r="B473" s="6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5"/>
      <c r="P473" s="69"/>
      <c r="Q473" s="69"/>
      <c r="R473" s="69"/>
      <c r="S473" s="69"/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12"/>
      <c r="AF473" s="16"/>
      <c r="AG473" s="16"/>
      <c r="AH473" s="16"/>
      <c r="AI473" s="16"/>
      <c r="AJ473" s="16"/>
      <c r="AK473" s="16"/>
      <c r="AL473" s="16"/>
      <c r="AM473" s="69"/>
      <c r="AN473" s="69"/>
      <c r="AO473" s="69"/>
      <c r="AP473" s="69"/>
      <c r="AQ473" s="69"/>
      <c r="AR473" s="69"/>
      <c r="AS473" s="69"/>
      <c r="AT473" s="69"/>
      <c r="AU473" s="69"/>
      <c r="AV473" s="69"/>
      <c r="AW473" s="69"/>
      <c r="AX473" s="69"/>
      <c r="AY473" s="69"/>
      <c r="AZ473" s="69"/>
      <c r="BA473" s="69"/>
      <c r="BB473" s="69"/>
      <c r="BC473" s="69"/>
      <c r="BD473" s="69"/>
      <c r="BE473" s="69"/>
      <c r="BF473" s="69"/>
      <c r="BG473" s="64"/>
      <c r="BH473" s="64"/>
    </row>
    <row r="474" spans="1:60" ht="14.25" customHeight="1" x14ac:dyDescent="0.25">
      <c r="A474" s="64"/>
      <c r="B474" s="64"/>
      <c r="C474" s="160" t="s">
        <v>326</v>
      </c>
      <c r="D474" s="160"/>
      <c r="E474" s="160"/>
      <c r="F474" s="160"/>
      <c r="G474" s="160"/>
      <c r="H474" s="160"/>
      <c r="I474" s="160"/>
      <c r="J474" s="160"/>
      <c r="K474" s="160"/>
      <c r="L474" s="160"/>
      <c r="M474" s="160"/>
      <c r="N474" s="180"/>
      <c r="O474" s="22"/>
      <c r="P474" s="24"/>
      <c r="Q474" s="94"/>
      <c r="R474" s="212"/>
      <c r="S474" s="212"/>
      <c r="T474" s="212"/>
      <c r="U474" s="212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  <c r="AH474" s="212"/>
      <c r="AI474" s="212"/>
      <c r="AJ474" s="212"/>
      <c r="AK474" s="212"/>
      <c r="AL474" s="212"/>
      <c r="AM474" s="212"/>
      <c r="AN474" s="212"/>
      <c r="AO474" s="212"/>
      <c r="AP474" s="212"/>
      <c r="AQ474" s="212"/>
      <c r="AR474" s="212"/>
      <c r="AS474" s="212"/>
      <c r="AT474" s="212"/>
      <c r="AU474" s="212"/>
      <c r="AV474" s="212"/>
      <c r="AW474" s="212"/>
      <c r="AX474" s="212"/>
      <c r="AY474" s="212"/>
      <c r="AZ474" s="212"/>
      <c r="BA474" s="212"/>
      <c r="BB474" s="212"/>
      <c r="BC474" s="212"/>
      <c r="BD474" s="212"/>
      <c r="BE474" s="212"/>
      <c r="BF474" s="213"/>
      <c r="BG474" s="26"/>
      <c r="BH474" s="25"/>
    </row>
    <row r="475" spans="1:60" ht="14.25" customHeight="1" x14ac:dyDescent="0.25">
      <c r="A475" s="64"/>
      <c r="B475" s="64"/>
      <c r="C475" s="160"/>
      <c r="D475" s="160"/>
      <c r="E475" s="160"/>
      <c r="F475" s="160"/>
      <c r="G475" s="160"/>
      <c r="H475" s="160"/>
      <c r="I475" s="160"/>
      <c r="J475" s="160"/>
      <c r="K475" s="160"/>
      <c r="L475" s="160"/>
      <c r="M475" s="160"/>
      <c r="N475" s="180"/>
      <c r="O475" s="22"/>
      <c r="P475" s="24"/>
      <c r="Q475" s="214"/>
      <c r="R475" s="215"/>
      <c r="S475" s="215"/>
      <c r="T475" s="215"/>
      <c r="U475" s="215"/>
      <c r="V475" s="215"/>
      <c r="W475" s="215"/>
      <c r="X475" s="215"/>
      <c r="Y475" s="215"/>
      <c r="Z475" s="215"/>
      <c r="AA475" s="215"/>
      <c r="AB475" s="215"/>
      <c r="AC475" s="215"/>
      <c r="AD475" s="215"/>
      <c r="AE475" s="215"/>
      <c r="AF475" s="215"/>
      <c r="AG475" s="215"/>
      <c r="AH475" s="215"/>
      <c r="AI475" s="215"/>
      <c r="AJ475" s="215"/>
      <c r="AK475" s="215"/>
      <c r="AL475" s="215"/>
      <c r="AM475" s="215"/>
      <c r="AN475" s="215"/>
      <c r="AO475" s="215"/>
      <c r="AP475" s="215"/>
      <c r="AQ475" s="215"/>
      <c r="AR475" s="215"/>
      <c r="AS475" s="215"/>
      <c r="AT475" s="215"/>
      <c r="AU475" s="215"/>
      <c r="AV475" s="215"/>
      <c r="AW475" s="215"/>
      <c r="AX475" s="215"/>
      <c r="AY475" s="215"/>
      <c r="AZ475" s="215"/>
      <c r="BA475" s="215"/>
      <c r="BB475" s="215"/>
      <c r="BC475" s="215"/>
      <c r="BD475" s="215"/>
      <c r="BE475" s="215"/>
      <c r="BF475" s="216"/>
      <c r="BG475" s="26"/>
      <c r="BH475" s="25"/>
    </row>
    <row r="476" spans="1:60" ht="14.25" customHeight="1" x14ac:dyDescent="0.25">
      <c r="A476" s="64"/>
      <c r="B476" s="64"/>
      <c r="C476" s="69"/>
      <c r="D476" s="69"/>
      <c r="E476" s="69"/>
      <c r="F476" s="69"/>
      <c r="G476" s="69"/>
      <c r="H476" s="69"/>
      <c r="I476" s="69"/>
      <c r="J476" s="69"/>
      <c r="K476" s="69"/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16"/>
      <c r="AQ476" s="16"/>
      <c r="AR476" s="16"/>
      <c r="AS476" s="16"/>
      <c r="AT476" s="69"/>
      <c r="AU476" s="69"/>
      <c r="AV476" s="69"/>
      <c r="AW476" s="69"/>
      <c r="AX476" s="69"/>
      <c r="AY476" s="69"/>
      <c r="AZ476" s="69"/>
      <c r="BA476" s="69"/>
      <c r="BB476" s="69"/>
      <c r="BC476" s="69"/>
      <c r="BD476" s="69"/>
      <c r="BE476" s="69"/>
      <c r="BF476" s="69"/>
      <c r="BG476" s="64"/>
      <c r="BH476" s="64"/>
    </row>
    <row r="477" spans="1:60" ht="14.25" customHeight="1" x14ac:dyDescent="0.25">
      <c r="A477" s="64"/>
      <c r="B477" s="64"/>
      <c r="C477" s="160" t="s">
        <v>327</v>
      </c>
      <c r="D477" s="160"/>
      <c r="E477" s="160"/>
      <c r="F477" s="160"/>
      <c r="G477" s="160"/>
      <c r="H477" s="175"/>
      <c r="I477" s="200"/>
      <c r="J477" s="200"/>
      <c r="K477" s="200"/>
      <c r="L477" s="200"/>
      <c r="M477" s="200"/>
      <c r="N477" s="200"/>
      <c r="O477" s="22"/>
      <c r="P477" s="24"/>
      <c r="Q477" s="94"/>
      <c r="R477" s="212"/>
      <c r="S477" s="212"/>
      <c r="T477" s="212"/>
      <c r="U477" s="212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  <c r="AH477" s="212"/>
      <c r="AI477" s="212"/>
      <c r="AJ477" s="212"/>
      <c r="AK477" s="212"/>
      <c r="AL477" s="212"/>
      <c r="AM477" s="212"/>
      <c r="AN477" s="212"/>
      <c r="AO477" s="212"/>
      <c r="AP477" s="212"/>
      <c r="AQ477" s="212"/>
      <c r="AR477" s="212"/>
      <c r="AS477" s="212"/>
      <c r="AT477" s="212"/>
      <c r="AU477" s="212"/>
      <c r="AV477" s="212"/>
      <c r="AW477" s="212"/>
      <c r="AX477" s="212"/>
      <c r="AY477" s="212"/>
      <c r="AZ477" s="212"/>
      <c r="BA477" s="212"/>
      <c r="BB477" s="212"/>
      <c r="BC477" s="212"/>
      <c r="BD477" s="212"/>
      <c r="BE477" s="212"/>
      <c r="BF477" s="213"/>
      <c r="BG477" s="26"/>
      <c r="BH477" s="25"/>
    </row>
    <row r="478" spans="1:60" ht="14.25" customHeight="1" x14ac:dyDescent="0.25">
      <c r="A478" s="64"/>
      <c r="B478" s="64"/>
      <c r="C478" s="160"/>
      <c r="D478" s="160"/>
      <c r="E478" s="160"/>
      <c r="F478" s="160"/>
      <c r="G478" s="160"/>
      <c r="H478" s="175"/>
      <c r="I478" s="200"/>
      <c r="J478" s="200"/>
      <c r="K478" s="200"/>
      <c r="L478" s="200"/>
      <c r="M478" s="200"/>
      <c r="N478" s="200"/>
      <c r="O478" s="22"/>
      <c r="P478" s="24"/>
      <c r="Q478" s="214"/>
      <c r="R478" s="215"/>
      <c r="S478" s="215"/>
      <c r="T478" s="215"/>
      <c r="U478" s="215"/>
      <c r="V478" s="215"/>
      <c r="W478" s="215"/>
      <c r="X478" s="215"/>
      <c r="Y478" s="215"/>
      <c r="Z478" s="215"/>
      <c r="AA478" s="215"/>
      <c r="AB478" s="215"/>
      <c r="AC478" s="215"/>
      <c r="AD478" s="215"/>
      <c r="AE478" s="215"/>
      <c r="AF478" s="215"/>
      <c r="AG478" s="215"/>
      <c r="AH478" s="215"/>
      <c r="AI478" s="215"/>
      <c r="AJ478" s="215"/>
      <c r="AK478" s="215"/>
      <c r="AL478" s="215"/>
      <c r="AM478" s="215"/>
      <c r="AN478" s="215"/>
      <c r="AO478" s="215"/>
      <c r="AP478" s="215"/>
      <c r="AQ478" s="215"/>
      <c r="AR478" s="215"/>
      <c r="AS478" s="215"/>
      <c r="AT478" s="215"/>
      <c r="AU478" s="215"/>
      <c r="AV478" s="215"/>
      <c r="AW478" s="215"/>
      <c r="AX478" s="215"/>
      <c r="AY478" s="215"/>
      <c r="AZ478" s="215"/>
      <c r="BA478" s="215"/>
      <c r="BB478" s="215"/>
      <c r="BC478" s="215"/>
      <c r="BD478" s="215"/>
      <c r="BE478" s="215"/>
      <c r="BF478" s="216"/>
      <c r="BG478" s="26"/>
      <c r="BH478" s="25"/>
    </row>
    <row r="479" spans="1:60" ht="14.25" customHeight="1" x14ac:dyDescent="0.25">
      <c r="A479" s="64"/>
      <c r="B479" s="64"/>
      <c r="C479" s="210"/>
      <c r="D479" s="217"/>
      <c r="E479" s="217"/>
      <c r="F479" s="217"/>
      <c r="G479" s="217"/>
      <c r="H479" s="217"/>
      <c r="I479" s="217"/>
      <c r="J479" s="217"/>
      <c r="K479" s="217"/>
      <c r="L479" s="217"/>
      <c r="M479" s="217"/>
      <c r="N479" s="217"/>
      <c r="O479" s="217"/>
      <c r="P479" s="217"/>
      <c r="Q479" s="217"/>
      <c r="R479" s="217"/>
      <c r="S479" s="217"/>
      <c r="T479" s="217"/>
      <c r="U479" s="217"/>
      <c r="V479" s="217"/>
      <c r="W479" s="217"/>
      <c r="X479" s="217"/>
      <c r="Y479" s="217"/>
      <c r="Z479" s="217"/>
      <c r="AA479" s="217"/>
      <c r="AB479" s="217"/>
      <c r="AC479" s="217"/>
      <c r="AD479" s="217"/>
      <c r="AE479" s="217"/>
      <c r="AF479" s="217"/>
      <c r="AG479" s="217"/>
      <c r="AH479" s="217"/>
      <c r="AI479" s="217"/>
      <c r="AJ479" s="217"/>
      <c r="AK479" s="217"/>
      <c r="AL479" s="217"/>
      <c r="AM479" s="217"/>
      <c r="AN479" s="217"/>
      <c r="AO479" s="217"/>
      <c r="AP479" s="217"/>
      <c r="AQ479" s="217"/>
      <c r="AR479" s="217"/>
      <c r="AS479" s="217"/>
      <c r="AT479" s="217"/>
      <c r="AU479" s="217"/>
      <c r="AV479" s="217"/>
      <c r="AW479" s="217"/>
      <c r="AX479" s="217"/>
      <c r="AY479" s="217"/>
      <c r="AZ479" s="217"/>
      <c r="BA479" s="217"/>
      <c r="BB479" s="217"/>
      <c r="BC479" s="217"/>
      <c r="BD479" s="217"/>
      <c r="BE479" s="217"/>
      <c r="BF479" s="217"/>
      <c r="BG479" s="64"/>
      <c r="BH479" s="64"/>
    </row>
  </sheetData>
  <dataConsolidate/>
  <mergeCells count="498">
    <mergeCell ref="C302:BF302"/>
    <mergeCell ref="AO265:AS267"/>
    <mergeCell ref="C266:F267"/>
    <mergeCell ref="I266:AC267"/>
    <mergeCell ref="AG266:AJ267"/>
    <mergeCell ref="AK266:AN267"/>
    <mergeCell ref="AT266:AW267"/>
    <mergeCell ref="AX266:BB267"/>
    <mergeCell ref="BC266:BF267"/>
    <mergeCell ref="C300:P301"/>
    <mergeCell ref="Q300:BF301"/>
    <mergeCell ref="C259:H260"/>
    <mergeCell ref="I259:AO260"/>
    <mergeCell ref="AP259:AX260"/>
    <mergeCell ref="AY259:BF260"/>
    <mergeCell ref="C261:N262"/>
    <mergeCell ref="AD262:AL264"/>
    <mergeCell ref="C263:K264"/>
    <mergeCell ref="L263:AC264"/>
    <mergeCell ref="AM263:BF264"/>
    <mergeCell ref="C253:G254"/>
    <mergeCell ref="I253:AC254"/>
    <mergeCell ref="AE253:AS254"/>
    <mergeCell ref="AT253:AW254"/>
    <mergeCell ref="AY253:BA254"/>
    <mergeCell ref="BB253:BF254"/>
    <mergeCell ref="C256:G257"/>
    <mergeCell ref="I256:V257"/>
    <mergeCell ref="W256:Z257"/>
    <mergeCell ref="AA256:AD257"/>
    <mergeCell ref="AE256:AI257"/>
    <mergeCell ref="AJ256:AQ257"/>
    <mergeCell ref="AS256:AX257"/>
    <mergeCell ref="AY256:BF257"/>
    <mergeCell ref="C247:H248"/>
    <mergeCell ref="I247:AC248"/>
    <mergeCell ref="AD247:AK248"/>
    <mergeCell ref="AL247:AP248"/>
    <mergeCell ref="AQ247:AV248"/>
    <mergeCell ref="AW247:BF248"/>
    <mergeCell ref="C250:G251"/>
    <mergeCell ref="I250:AC251"/>
    <mergeCell ref="AD250:AK251"/>
    <mergeCell ref="AL250:BF251"/>
    <mergeCell ref="C123:N124"/>
    <mergeCell ref="Q123:BF124"/>
    <mergeCell ref="C125:BF125"/>
    <mergeCell ref="C109:X110"/>
    <mergeCell ref="Z109:BF110"/>
    <mergeCell ref="C117:I118"/>
    <mergeCell ref="J117:BF118"/>
    <mergeCell ref="C120:N121"/>
    <mergeCell ref="Q120:BF121"/>
    <mergeCell ref="C103:I104"/>
    <mergeCell ref="J103:AN104"/>
    <mergeCell ref="AP103:AX104"/>
    <mergeCell ref="AY103:BF104"/>
    <mergeCell ref="C106:Y107"/>
    <mergeCell ref="Z106:BF107"/>
    <mergeCell ref="AX89:BB90"/>
    <mergeCell ref="BC89:BF90"/>
    <mergeCell ref="C99:O100"/>
    <mergeCell ref="P99:T100"/>
    <mergeCell ref="V99:AC100"/>
    <mergeCell ref="AD99:AK100"/>
    <mergeCell ref="AR99:AV100"/>
    <mergeCell ref="AY99:BF100"/>
    <mergeCell ref="AO88:AS90"/>
    <mergeCell ref="C89:F90"/>
    <mergeCell ref="I89:AC90"/>
    <mergeCell ref="AG89:AJ90"/>
    <mergeCell ref="AK89:AN90"/>
    <mergeCell ref="AT89:AW90"/>
    <mergeCell ref="AY79:BF80"/>
    <mergeCell ref="C82:H83"/>
    <mergeCell ref="I82:AO83"/>
    <mergeCell ref="AP82:AX83"/>
    <mergeCell ref="AY82:BF83"/>
    <mergeCell ref="C84:N85"/>
    <mergeCell ref="AE85:AL87"/>
    <mergeCell ref="C86:K87"/>
    <mergeCell ref="L86:AC87"/>
    <mergeCell ref="AM86:BF87"/>
    <mergeCell ref="C79:G80"/>
    <mergeCell ref="I79:V80"/>
    <mergeCell ref="W79:Z80"/>
    <mergeCell ref="AA79:AD80"/>
    <mergeCell ref="AE79:AI80"/>
    <mergeCell ref="AS79:AX80"/>
    <mergeCell ref="AJ79:AQ80"/>
    <mergeCell ref="C73:G74"/>
    <mergeCell ref="I73:AC74"/>
    <mergeCell ref="AE73:AK74"/>
    <mergeCell ref="AL73:BF74"/>
    <mergeCell ref="C76:G77"/>
    <mergeCell ref="I76:AC77"/>
    <mergeCell ref="C64:P65"/>
    <mergeCell ref="Q64:BF65"/>
    <mergeCell ref="C66:BF66"/>
    <mergeCell ref="C70:H71"/>
    <mergeCell ref="I70:AC71"/>
    <mergeCell ref="AE70:AK71"/>
    <mergeCell ref="AL70:AP71"/>
    <mergeCell ref="AQ70:AV71"/>
    <mergeCell ref="AW70:BF71"/>
    <mergeCell ref="AE76:AS77"/>
    <mergeCell ref="AT76:AW77"/>
    <mergeCell ref="AY76:BA77"/>
    <mergeCell ref="BB76:BF77"/>
    <mergeCell ref="C58:I59"/>
    <mergeCell ref="J58:BF59"/>
    <mergeCell ref="C61:N62"/>
    <mergeCell ref="Q61:BF62"/>
    <mergeCell ref="C43:H44"/>
    <mergeCell ref="J43:AN44"/>
    <mergeCell ref="AP43:AX44"/>
    <mergeCell ref="AY43:BF44"/>
    <mergeCell ref="C46:Y47"/>
    <mergeCell ref="Z46:BF47"/>
    <mergeCell ref="C39:O40"/>
    <mergeCell ref="P39:T40"/>
    <mergeCell ref="U39:AC40"/>
    <mergeCell ref="AD39:AK40"/>
    <mergeCell ref="AR39:AW40"/>
    <mergeCell ref="AY39:BF40"/>
    <mergeCell ref="C49:X50"/>
    <mergeCell ref="Z49:BF50"/>
    <mergeCell ref="C52:BF52"/>
    <mergeCell ref="C24:N25"/>
    <mergeCell ref="AD25:AL27"/>
    <mergeCell ref="C26:K27"/>
    <mergeCell ref="L26:AC27"/>
    <mergeCell ref="AM26:BF27"/>
    <mergeCell ref="AO28:AS30"/>
    <mergeCell ref="C29:F30"/>
    <mergeCell ref="I29:AC30"/>
    <mergeCell ref="AG29:AJ30"/>
    <mergeCell ref="AK29:AN30"/>
    <mergeCell ref="AT29:AW30"/>
    <mergeCell ref="AX29:BB30"/>
    <mergeCell ref="BC29:BF30"/>
    <mergeCell ref="AY19:BF20"/>
    <mergeCell ref="C22:H23"/>
    <mergeCell ref="I22:AO23"/>
    <mergeCell ref="AP22:AX23"/>
    <mergeCell ref="AY22:BF23"/>
    <mergeCell ref="C19:G20"/>
    <mergeCell ref="I19:V20"/>
    <mergeCell ref="W19:Z20"/>
    <mergeCell ref="AA19:AD20"/>
    <mergeCell ref="AE19:AI20"/>
    <mergeCell ref="AJ19:AQ20"/>
    <mergeCell ref="AS19:AX20"/>
    <mergeCell ref="C13:G14"/>
    <mergeCell ref="I13:AC14"/>
    <mergeCell ref="AL13:BF14"/>
    <mergeCell ref="C16:G17"/>
    <mergeCell ref="I16:AC17"/>
    <mergeCell ref="C10:H11"/>
    <mergeCell ref="I10:AC11"/>
    <mergeCell ref="AL10:AP11"/>
    <mergeCell ref="AQ10:AV11"/>
    <mergeCell ref="AW10:BF11"/>
    <mergeCell ref="AD10:AK11"/>
    <mergeCell ref="AD13:AK14"/>
    <mergeCell ref="AE16:AS17"/>
    <mergeCell ref="AT16:AW17"/>
    <mergeCell ref="AY16:BA17"/>
    <mergeCell ref="BB16:BF17"/>
    <mergeCell ref="C129:H130"/>
    <mergeCell ref="I129:AC130"/>
    <mergeCell ref="AE129:AK130"/>
    <mergeCell ref="AL129:AP130"/>
    <mergeCell ref="AQ129:AV130"/>
    <mergeCell ref="AW129:BF130"/>
    <mergeCell ref="C132:G133"/>
    <mergeCell ref="I132:AC133"/>
    <mergeCell ref="AE132:AK133"/>
    <mergeCell ref="AL132:BF133"/>
    <mergeCell ref="C135:G136"/>
    <mergeCell ref="I135:AC136"/>
    <mergeCell ref="AE135:AS136"/>
    <mergeCell ref="AT135:AW136"/>
    <mergeCell ref="AY135:BA136"/>
    <mergeCell ref="BB135:BF136"/>
    <mergeCell ref="C138:G139"/>
    <mergeCell ref="I138:V139"/>
    <mergeCell ref="W138:Z139"/>
    <mergeCell ref="AA138:AD139"/>
    <mergeCell ref="AE138:AI139"/>
    <mergeCell ref="AJ138:AQ139"/>
    <mergeCell ref="AS138:AX139"/>
    <mergeCell ref="AY138:BF139"/>
    <mergeCell ref="C141:H142"/>
    <mergeCell ref="I141:AO142"/>
    <mergeCell ref="AP141:AX142"/>
    <mergeCell ref="AY141:BF142"/>
    <mergeCell ref="C143:N144"/>
    <mergeCell ref="AE144:AL146"/>
    <mergeCell ref="C145:K146"/>
    <mergeCell ref="L145:AC146"/>
    <mergeCell ref="AM145:BF146"/>
    <mergeCell ref="AO147:AS149"/>
    <mergeCell ref="C148:F149"/>
    <mergeCell ref="I148:AC149"/>
    <mergeCell ref="AG148:AJ149"/>
    <mergeCell ref="AK148:AN149"/>
    <mergeCell ref="AT148:AW149"/>
    <mergeCell ref="AX148:BB149"/>
    <mergeCell ref="BC148:BF149"/>
    <mergeCell ref="C158:O159"/>
    <mergeCell ref="P158:T159"/>
    <mergeCell ref="V158:AC159"/>
    <mergeCell ref="AD158:AK159"/>
    <mergeCell ref="AR158:AV159"/>
    <mergeCell ref="AY158:BF159"/>
    <mergeCell ref="C162:I163"/>
    <mergeCell ref="J162:AN163"/>
    <mergeCell ref="AP162:AX163"/>
    <mergeCell ref="AY162:BF163"/>
    <mergeCell ref="C165:Y166"/>
    <mergeCell ref="Z165:BF166"/>
    <mergeCell ref="C168:X169"/>
    <mergeCell ref="Z168:BF169"/>
    <mergeCell ref="C176:I177"/>
    <mergeCell ref="J176:BF177"/>
    <mergeCell ref="C179:N180"/>
    <mergeCell ref="Q179:BF180"/>
    <mergeCell ref="C182:N183"/>
    <mergeCell ref="Q182:BF183"/>
    <mergeCell ref="C184:BF184"/>
    <mergeCell ref="C188:H189"/>
    <mergeCell ref="I188:AC189"/>
    <mergeCell ref="AE188:AK189"/>
    <mergeCell ref="AL188:AP189"/>
    <mergeCell ref="AQ188:AV189"/>
    <mergeCell ref="AW188:BF189"/>
    <mergeCell ref="C191:G192"/>
    <mergeCell ref="I191:AC192"/>
    <mergeCell ref="AE191:AK192"/>
    <mergeCell ref="AL191:BF192"/>
    <mergeCell ref="C194:G195"/>
    <mergeCell ref="I194:AC195"/>
    <mergeCell ref="AE194:AS195"/>
    <mergeCell ref="AT194:AW195"/>
    <mergeCell ref="AY194:BA195"/>
    <mergeCell ref="BB194:BF195"/>
    <mergeCell ref="C197:G198"/>
    <mergeCell ref="I197:V198"/>
    <mergeCell ref="W197:Z198"/>
    <mergeCell ref="AA197:AD198"/>
    <mergeCell ref="AE197:AI198"/>
    <mergeCell ref="AJ197:AQ198"/>
    <mergeCell ref="AS197:AX198"/>
    <mergeCell ref="AY197:BF198"/>
    <mergeCell ref="C200:H201"/>
    <mergeCell ref="I200:AO201"/>
    <mergeCell ref="AP200:AX201"/>
    <mergeCell ref="AY200:BF201"/>
    <mergeCell ref="C202:N203"/>
    <mergeCell ref="AE203:AL205"/>
    <mergeCell ref="C204:K205"/>
    <mergeCell ref="L204:AC205"/>
    <mergeCell ref="AM204:BF205"/>
    <mergeCell ref="AO206:AS208"/>
    <mergeCell ref="C207:F208"/>
    <mergeCell ref="I207:AC208"/>
    <mergeCell ref="AG207:AJ208"/>
    <mergeCell ref="AK207:AN208"/>
    <mergeCell ref="AT207:AW208"/>
    <mergeCell ref="AX207:BB208"/>
    <mergeCell ref="BC207:BF208"/>
    <mergeCell ref="C217:O218"/>
    <mergeCell ref="P217:T218"/>
    <mergeCell ref="V217:AC218"/>
    <mergeCell ref="AD217:AK218"/>
    <mergeCell ref="AR217:AV218"/>
    <mergeCell ref="AY217:BF218"/>
    <mergeCell ref="C221:I222"/>
    <mergeCell ref="J221:AN222"/>
    <mergeCell ref="AP221:AX222"/>
    <mergeCell ref="AY221:BF222"/>
    <mergeCell ref="C243:BF243"/>
    <mergeCell ref="C224:Y225"/>
    <mergeCell ref="Z224:BF225"/>
    <mergeCell ref="C227:X228"/>
    <mergeCell ref="Z227:BF228"/>
    <mergeCell ref="C235:I236"/>
    <mergeCell ref="J235:BF236"/>
    <mergeCell ref="C238:N239"/>
    <mergeCell ref="Q238:BF239"/>
    <mergeCell ref="C241:N242"/>
    <mergeCell ref="Q241:BF242"/>
    <mergeCell ref="C306:H307"/>
    <mergeCell ref="I306:AC307"/>
    <mergeCell ref="AE306:AK307"/>
    <mergeCell ref="AL306:AP307"/>
    <mergeCell ref="AQ306:AV307"/>
    <mergeCell ref="AW306:BF307"/>
    <mergeCell ref="C309:G310"/>
    <mergeCell ref="I309:AC310"/>
    <mergeCell ref="AE309:AK310"/>
    <mergeCell ref="AL309:BF310"/>
    <mergeCell ref="C312:G313"/>
    <mergeCell ref="I312:AC313"/>
    <mergeCell ref="AE312:AS313"/>
    <mergeCell ref="AT312:AW313"/>
    <mergeCell ref="AY312:BA313"/>
    <mergeCell ref="BB312:BF313"/>
    <mergeCell ref="C315:G316"/>
    <mergeCell ref="I315:V316"/>
    <mergeCell ref="W315:Z316"/>
    <mergeCell ref="AA315:AD316"/>
    <mergeCell ref="AE315:AI316"/>
    <mergeCell ref="AJ315:AQ316"/>
    <mergeCell ref="AS315:AX316"/>
    <mergeCell ref="AY315:BF316"/>
    <mergeCell ref="C318:H319"/>
    <mergeCell ref="I318:AO319"/>
    <mergeCell ref="AP318:AX319"/>
    <mergeCell ref="AY318:BF319"/>
    <mergeCell ref="C320:N321"/>
    <mergeCell ref="AE321:AL323"/>
    <mergeCell ref="C322:K323"/>
    <mergeCell ref="L322:AC323"/>
    <mergeCell ref="AM322:BF323"/>
    <mergeCell ref="AO324:AS326"/>
    <mergeCell ref="C325:F326"/>
    <mergeCell ref="I325:AC326"/>
    <mergeCell ref="AG325:AJ326"/>
    <mergeCell ref="AK325:AN326"/>
    <mergeCell ref="AT325:AW326"/>
    <mergeCell ref="AX325:BB326"/>
    <mergeCell ref="BC325:BF326"/>
    <mergeCell ref="C335:O336"/>
    <mergeCell ref="P335:T336"/>
    <mergeCell ref="V335:AC336"/>
    <mergeCell ref="AD335:AK336"/>
    <mergeCell ref="AR335:AV336"/>
    <mergeCell ref="AY335:BF336"/>
    <mergeCell ref="C339:I340"/>
    <mergeCell ref="J339:AN340"/>
    <mergeCell ref="AP339:AX340"/>
    <mergeCell ref="AY339:BF340"/>
    <mergeCell ref="C342:Y343"/>
    <mergeCell ref="Z342:BF343"/>
    <mergeCell ref="C345:X346"/>
    <mergeCell ref="Z345:BF346"/>
    <mergeCell ref="C353:I354"/>
    <mergeCell ref="J353:BF354"/>
    <mergeCell ref="C356:N357"/>
    <mergeCell ref="Q356:BF357"/>
    <mergeCell ref="C359:N360"/>
    <mergeCell ref="Q359:BF360"/>
    <mergeCell ref="C361:BF361"/>
    <mergeCell ref="C365:H366"/>
    <mergeCell ref="I365:AC366"/>
    <mergeCell ref="AE365:AK366"/>
    <mergeCell ref="AL365:AP366"/>
    <mergeCell ref="AQ365:AV366"/>
    <mergeCell ref="AW365:BF366"/>
    <mergeCell ref="C368:G369"/>
    <mergeCell ref="I368:AC369"/>
    <mergeCell ref="AE368:AK369"/>
    <mergeCell ref="AL368:BF369"/>
    <mergeCell ref="C371:G372"/>
    <mergeCell ref="I371:AC372"/>
    <mergeCell ref="AE371:AS372"/>
    <mergeCell ref="AT371:AW372"/>
    <mergeCell ref="AY371:BA372"/>
    <mergeCell ref="BB371:BF372"/>
    <mergeCell ref="C374:G375"/>
    <mergeCell ref="I374:V375"/>
    <mergeCell ref="W374:Z375"/>
    <mergeCell ref="AA374:AD375"/>
    <mergeCell ref="AE374:AI375"/>
    <mergeCell ref="AJ374:AQ375"/>
    <mergeCell ref="AS374:AX375"/>
    <mergeCell ref="AY374:BF375"/>
    <mergeCell ref="C377:H378"/>
    <mergeCell ref="I377:AO378"/>
    <mergeCell ref="AP377:AX378"/>
    <mergeCell ref="AY377:BF378"/>
    <mergeCell ref="C379:N380"/>
    <mergeCell ref="AE380:AL382"/>
    <mergeCell ref="C381:K382"/>
    <mergeCell ref="L381:AC382"/>
    <mergeCell ref="AM381:BF382"/>
    <mergeCell ref="AO383:AS385"/>
    <mergeCell ref="C384:F385"/>
    <mergeCell ref="I384:AC385"/>
    <mergeCell ref="AG384:AJ385"/>
    <mergeCell ref="AK384:AN385"/>
    <mergeCell ref="AT384:AW385"/>
    <mergeCell ref="AX384:BB385"/>
    <mergeCell ref="BC384:BF385"/>
    <mergeCell ref="C394:O395"/>
    <mergeCell ref="P394:T395"/>
    <mergeCell ref="V394:AC395"/>
    <mergeCell ref="AD394:AK395"/>
    <mergeCell ref="AR394:AV395"/>
    <mergeCell ref="AY394:BF395"/>
    <mergeCell ref="C398:I399"/>
    <mergeCell ref="J398:AN399"/>
    <mergeCell ref="AP398:AX399"/>
    <mergeCell ref="AY398:BF399"/>
    <mergeCell ref="C401:Y402"/>
    <mergeCell ref="Z401:BF402"/>
    <mergeCell ref="C404:X405"/>
    <mergeCell ref="Z404:BF405"/>
    <mergeCell ref="C412:I413"/>
    <mergeCell ref="J412:BF413"/>
    <mergeCell ref="C415:N416"/>
    <mergeCell ref="Q415:BF416"/>
    <mergeCell ref="C418:N419"/>
    <mergeCell ref="Q418:BF419"/>
    <mergeCell ref="C420:BF420"/>
    <mergeCell ref="C424:H425"/>
    <mergeCell ref="I424:AC425"/>
    <mergeCell ref="AE424:AK425"/>
    <mergeCell ref="AL424:AP425"/>
    <mergeCell ref="AQ424:AV425"/>
    <mergeCell ref="AW424:BF425"/>
    <mergeCell ref="C427:G428"/>
    <mergeCell ref="I427:AC428"/>
    <mergeCell ref="AE427:AK428"/>
    <mergeCell ref="AL427:BF428"/>
    <mergeCell ref="C430:G431"/>
    <mergeCell ref="I430:AC431"/>
    <mergeCell ref="AE430:AS431"/>
    <mergeCell ref="AT430:AW431"/>
    <mergeCell ref="AY430:BA431"/>
    <mergeCell ref="BB430:BF431"/>
    <mergeCell ref="C433:G434"/>
    <mergeCell ref="I433:V434"/>
    <mergeCell ref="W433:Z434"/>
    <mergeCell ref="AA433:AD434"/>
    <mergeCell ref="AE433:AI434"/>
    <mergeCell ref="AJ433:AQ434"/>
    <mergeCell ref="AS433:AX434"/>
    <mergeCell ref="AY433:BF434"/>
    <mergeCell ref="C436:H437"/>
    <mergeCell ref="I436:AO437"/>
    <mergeCell ref="AP436:AX437"/>
    <mergeCell ref="AY436:BF437"/>
    <mergeCell ref="C438:N439"/>
    <mergeCell ref="AE439:AL441"/>
    <mergeCell ref="C440:K441"/>
    <mergeCell ref="L440:AC441"/>
    <mergeCell ref="AM440:BF441"/>
    <mergeCell ref="AO442:AS444"/>
    <mergeCell ref="C443:F444"/>
    <mergeCell ref="I443:AC444"/>
    <mergeCell ref="AG443:AJ444"/>
    <mergeCell ref="AK443:AN444"/>
    <mergeCell ref="AT443:AW444"/>
    <mergeCell ref="AX443:BB444"/>
    <mergeCell ref="BC443:BF444"/>
    <mergeCell ref="C453:O454"/>
    <mergeCell ref="P453:T454"/>
    <mergeCell ref="V453:AC454"/>
    <mergeCell ref="AD453:AK454"/>
    <mergeCell ref="AR453:AV454"/>
    <mergeCell ref="AY453:BF454"/>
    <mergeCell ref="C457:I458"/>
    <mergeCell ref="J457:AN458"/>
    <mergeCell ref="AP457:AX458"/>
    <mergeCell ref="AY457:BF458"/>
    <mergeCell ref="C460:Y461"/>
    <mergeCell ref="Z460:BF461"/>
    <mergeCell ref="C463:X464"/>
    <mergeCell ref="Z463:BF464"/>
    <mergeCell ref="C471:I472"/>
    <mergeCell ref="J471:BF472"/>
    <mergeCell ref="C474:N475"/>
    <mergeCell ref="Q474:BF475"/>
    <mergeCell ref="C477:N478"/>
    <mergeCell ref="Q477:BF478"/>
    <mergeCell ref="C479:BF479"/>
    <mergeCell ref="C276:O277"/>
    <mergeCell ref="P276:T277"/>
    <mergeCell ref="U276:AC277"/>
    <mergeCell ref="AD276:AK277"/>
    <mergeCell ref="AR276:AW277"/>
    <mergeCell ref="AY276:BF277"/>
    <mergeCell ref="C280:H281"/>
    <mergeCell ref="J280:AN281"/>
    <mergeCell ref="AP280:AX281"/>
    <mergeCell ref="AY280:BF281"/>
    <mergeCell ref="C283:Y284"/>
    <mergeCell ref="Z283:BF284"/>
    <mergeCell ref="C286:X287"/>
    <mergeCell ref="Z286:BF287"/>
    <mergeCell ref="C289:BF289"/>
    <mergeCell ref="C294:I295"/>
    <mergeCell ref="J294:BF295"/>
    <mergeCell ref="C297:N298"/>
    <mergeCell ref="Q297:BF298"/>
  </mergeCells>
  <dataValidations count="4">
    <dataValidation type="date" operator="greaterThan" allowBlank="1" showInputMessage="1" showErrorMessage="1" promptTitle="Введите дату в формате" prompt="&quot;ДД.ММ.ГГГГ&quot;" sqref="Q61 BG123:BH124 Q120 BG64:BH65 Q64 Q123 BG120:BH121 BG61:BH62 BG182:BH183 Q179 Q182 BG179:BH180 BG241:BH242 Q238 Q241 BG238:BH239 BG359:BH360 Q356 Q359 BG356:BH357 BG418:BH419 Q415 Q418 BG415:BH416 BG477:BH478 Q474 Q477 BG474:BH475 Q297 BG300:BH301 Q300 BG297:BH298">
      <formula1>1</formula1>
    </dataValidation>
    <dataValidation type="date" operator="greaterThan" allowBlank="1" showInputMessage="1" showErrorMessage="1" promptTitle="Введите дату в формате " prompt="&quot;ДД.ММ.ГГГГ&quot;" sqref="Z46 BG109:BH110 Z106 BG49:BH50 Z49 Z109 BG106:BH107 BG46:BH47 BG168:BH169 Z165 Z168 BG165:BH166 BG227:BH228 Z224 Z227 BG224:BH225 BG345:BH346 Z342 Z345 BG342:BH343 BG404:BH405 Z401 Z404 BG401:BH402 BG463:BH464 Z460 Z463 BG460:BH461 Z283 BG286:BH287 Z286 BG283:BH284">
      <formula1>32874</formula1>
    </dataValidation>
    <dataValidation type="date" operator="greaterThan" allowBlank="1" showInputMessage="1" showErrorMessage="1" promptTitle="Введите дату в формате " prompt="&quot;ДД.ММ.ГГГГ&quot;" sqref="AY79:BF80 AY99 AL48 AL10 AY39 AL108 AL70 AY19:BF20 AY138:BF139 AY158 AL167 AL129 AY197:BF198 AY217 AL226 AL188 AL247 AY256:BF257 AY315:BF316 AY335 AL344 AL306 AY374:BF375 AY394 AL403 AL365 AY433:BF434 AY453 AL462 AL424 AL285 AY276">
      <formula1>1</formula1>
    </dataValidation>
    <dataValidation operator="equal" allowBlank="1" showInputMessage="1" showErrorMessage="1" sqref="BB76 BB16 AJ19:AQ20 AA19:AD20 BB135 BB194 AJ79:AQ80 AJ138:AQ139 AJ197:AQ198 AA79:AD80 AA138:AD139 AA197:AD198 AD39:AK40 P99:T100 AD99:AK100 P39:T40 P158:T159 AD158:AK159 P217:T218 AD217:AK218 BB253 AJ256:AQ257 AA256:AD257 BB312 BB371 BB430 AJ315:AQ316 AJ374:AQ375 AJ433:AQ434 AA315:AD316 AA374:AD375 AA433:AD434 P335:T336 AD335:AK336 P394:T395 AD394:AK395 P453:T454 AD453:AK454 AD276:AK277 P276:T277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25</xdr:row>
                    <xdr:rowOff>28575</xdr:rowOff>
                  </from>
                  <to>
                    <xdr:col>70</xdr:col>
                    <xdr:colOff>123825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85</xdr:row>
                    <xdr:rowOff>28575</xdr:rowOff>
                  </from>
                  <to>
                    <xdr:col>70</xdr:col>
                    <xdr:colOff>133350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tep_5">
                <anchor moveWithCells="1" sizeWithCells="1">
                  <from>
                    <xdr:col>60</xdr:col>
                    <xdr:colOff>142875</xdr:colOff>
                    <xdr:row>144</xdr:row>
                    <xdr:rowOff>28575</xdr:rowOff>
                  </from>
                  <to>
                    <xdr:col>70</xdr:col>
                    <xdr:colOff>133350</xdr:colOff>
                    <xdr:row>148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tep_6">
                <anchor moveWithCells="1" sizeWithCells="1">
                  <from>
                    <xdr:col>60</xdr:col>
                    <xdr:colOff>142875</xdr:colOff>
                    <xdr:row>203</xdr:row>
                    <xdr:rowOff>28575</xdr:rowOff>
                  </from>
                  <to>
                    <xdr:col>70</xdr:col>
                    <xdr:colOff>133350</xdr:colOff>
                    <xdr:row>207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262</xdr:row>
                    <xdr:rowOff>28575</xdr:rowOff>
                  </from>
                  <to>
                    <xdr:col>70</xdr:col>
                    <xdr:colOff>123825</xdr:colOff>
                    <xdr:row>266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321</xdr:row>
                    <xdr:rowOff>28575</xdr:rowOff>
                  </from>
                  <to>
                    <xdr:col>70</xdr:col>
                    <xdr:colOff>133350</xdr:colOff>
                    <xdr:row>325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step_5">
                <anchor moveWithCells="1" sizeWithCells="1">
                  <from>
                    <xdr:col>60</xdr:col>
                    <xdr:colOff>142875</xdr:colOff>
                    <xdr:row>380</xdr:row>
                    <xdr:rowOff>28575</xdr:rowOff>
                  </from>
                  <to>
                    <xdr:col>70</xdr:col>
                    <xdr:colOff>133350</xdr:colOff>
                    <xdr:row>384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utton 8">
              <controlPr defaultSize="0" print="0" autoFill="0" autoPict="0" macro="[0]!step_6">
                <anchor moveWithCells="1" sizeWithCells="1">
                  <from>
                    <xdr:col>60</xdr:col>
                    <xdr:colOff>142875</xdr:colOff>
                    <xdr:row>439</xdr:row>
                    <xdr:rowOff>28575</xdr:rowOff>
                  </from>
                  <to>
                    <xdr:col>70</xdr:col>
                    <xdr:colOff>133350</xdr:colOff>
                    <xdr:row>443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equal" allowBlank="1">
          <x14:formula1>
            <xm:f>'C:\Users\avasilev\Desktop\Мои документы\!!!АНКЕТА ЕИО_110817!!!\АЕИО_финальная\[Анкета единоличного исполнительного органа v.2.1.xlsm]List'!#REF!</xm:f>
          </x14:formula1>
          <xm:sqref>AY53:BF53</xm:sqref>
        </x14:dataValidation>
        <x14:dataValidation type="list" allowBlank="1" showInputMessage="1" showErrorMessage="1" prompt="Выберите из списка">
          <x14:formula1>
            <xm:f>DB!$A$3:$A$4</xm:f>
          </x14:formula1>
          <xm:sqref>AW10:BF11 AW70:BF71 AW129:BF130 AW188:BF189 AW247:BF248 AW306:BF307 AW365:BF366 AW424:BF425</xm:sqref>
        </x14:dataValidation>
        <x14:dataValidation type="list" operator="equal" allowBlank="1">
          <x14:formula1>
            <xm:f>DB!$C$2:$C$4</xm:f>
          </x14:formula1>
          <xm:sqref>AT16 AT76 AT135 AT194 AT253 AT312 AT371 AT430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141"/>
  <sheetViews>
    <sheetView workbookViewId="0">
      <selection activeCell="E3" sqref="E3"/>
    </sheetView>
  </sheetViews>
  <sheetFormatPr defaultRowHeight="15" x14ac:dyDescent="0.25"/>
  <cols>
    <col min="1" max="1" width="37" bestFit="1" customWidth="1"/>
    <col min="2" max="2" width="7.5703125" bestFit="1" customWidth="1"/>
    <col min="3" max="3" width="6.42578125" bestFit="1" customWidth="1"/>
    <col min="4" max="4" width="20.28515625" bestFit="1" customWidth="1"/>
    <col min="5" max="6" width="17.28515625" bestFit="1" customWidth="1"/>
    <col min="7" max="7" width="15" bestFit="1" customWidth="1"/>
    <col min="8" max="8" width="14.7109375" bestFit="1" customWidth="1"/>
    <col min="9" max="9" width="12.42578125" bestFit="1" customWidth="1"/>
  </cols>
  <sheetData>
    <row r="1" spans="1:14" x14ac:dyDescent="0.25">
      <c r="A1" t="s">
        <v>93</v>
      </c>
      <c r="B1" t="s">
        <v>94</v>
      </c>
      <c r="C1" t="s">
        <v>95</v>
      </c>
      <c r="D1" t="s">
        <v>96</v>
      </c>
      <c r="E1" t="s">
        <v>243</v>
      </c>
      <c r="G1" t="s">
        <v>242</v>
      </c>
      <c r="H1" t="s">
        <v>244</v>
      </c>
      <c r="I1" t="s">
        <v>247</v>
      </c>
      <c r="J1" t="s">
        <v>248</v>
      </c>
      <c r="K1" t="s">
        <v>333</v>
      </c>
      <c r="L1" t="s">
        <v>334</v>
      </c>
      <c r="M1" t="s">
        <v>335</v>
      </c>
    </row>
    <row r="2" spans="1:14" x14ac:dyDescent="0.25">
      <c r="A2" t="s">
        <v>97</v>
      </c>
      <c r="B2" t="s">
        <v>98</v>
      </c>
      <c r="C2" s="34">
        <v>14</v>
      </c>
      <c r="D2" s="34">
        <f>C2</f>
        <v>14</v>
      </c>
      <c r="E2" s="35">
        <v>25</v>
      </c>
      <c r="G2" s="34">
        <v>0</v>
      </c>
      <c r="H2" s="34">
        <v>0</v>
      </c>
      <c r="I2" s="34">
        <v>0</v>
      </c>
      <c r="J2" s="34">
        <v>34</v>
      </c>
      <c r="K2" s="34">
        <v>0</v>
      </c>
      <c r="L2" s="34">
        <v>0</v>
      </c>
      <c r="M2" s="34">
        <v>0</v>
      </c>
      <c r="N2" s="34"/>
    </row>
    <row r="3" spans="1:14" x14ac:dyDescent="0.25">
      <c r="A3" t="s">
        <v>99</v>
      </c>
      <c r="B3" t="s">
        <v>98</v>
      </c>
      <c r="C3" s="34">
        <v>17</v>
      </c>
      <c r="D3" s="34">
        <f t="shared" ref="D3:D7" si="0">C3</f>
        <v>17</v>
      </c>
      <c r="F3" s="34"/>
      <c r="G3" s="34"/>
      <c r="H3" s="34"/>
    </row>
    <row r="4" spans="1:14" x14ac:dyDescent="0.25">
      <c r="A4" t="s">
        <v>100</v>
      </c>
      <c r="B4" t="s">
        <v>98</v>
      </c>
      <c r="C4" s="34">
        <v>20</v>
      </c>
      <c r="D4" s="34">
        <f t="shared" si="0"/>
        <v>20</v>
      </c>
      <c r="F4" s="34"/>
      <c r="G4" s="34"/>
      <c r="H4" s="34"/>
    </row>
    <row r="5" spans="1:14" x14ac:dyDescent="0.25">
      <c r="A5" t="s">
        <v>101</v>
      </c>
      <c r="B5" t="s">
        <v>106</v>
      </c>
      <c r="C5" s="34">
        <v>14</v>
      </c>
      <c r="D5" s="34">
        <f t="shared" si="0"/>
        <v>14</v>
      </c>
      <c r="F5" s="34"/>
      <c r="G5" s="34"/>
      <c r="H5" s="34"/>
    </row>
    <row r="6" spans="1:14" x14ac:dyDescent="0.25">
      <c r="A6" t="s">
        <v>103</v>
      </c>
      <c r="B6" t="s">
        <v>104</v>
      </c>
      <c r="C6" s="34">
        <v>14</v>
      </c>
      <c r="D6" s="34">
        <f t="shared" si="0"/>
        <v>14</v>
      </c>
      <c r="F6" s="34"/>
      <c r="G6" s="34"/>
      <c r="H6" s="34"/>
    </row>
    <row r="7" spans="1:14" x14ac:dyDescent="0.25">
      <c r="A7" t="s">
        <v>105</v>
      </c>
      <c r="B7" t="s">
        <v>106</v>
      </c>
      <c r="C7" s="34">
        <v>17</v>
      </c>
      <c r="D7" s="34">
        <f t="shared" si="0"/>
        <v>17</v>
      </c>
      <c r="F7" s="34"/>
      <c r="G7" s="34"/>
      <c r="H7" s="34"/>
    </row>
    <row r="8" spans="1:14" x14ac:dyDescent="0.25">
      <c r="A8" t="s">
        <v>107</v>
      </c>
      <c r="B8" t="s">
        <v>98</v>
      </c>
      <c r="C8" s="34">
        <v>36</v>
      </c>
      <c r="D8" s="34">
        <f t="shared" ref="D8:D14" si="1">C8+offset_fio</f>
        <v>36</v>
      </c>
      <c r="F8" s="34"/>
      <c r="G8" s="34"/>
      <c r="H8" s="34"/>
    </row>
    <row r="9" spans="1:14" x14ac:dyDescent="0.25">
      <c r="A9" t="s">
        <v>108</v>
      </c>
      <c r="B9" t="s">
        <v>109</v>
      </c>
      <c r="C9" s="34">
        <v>36</v>
      </c>
      <c r="D9" s="34">
        <f t="shared" si="1"/>
        <v>36</v>
      </c>
      <c r="F9" s="34"/>
      <c r="G9" s="34"/>
      <c r="H9" s="34"/>
    </row>
    <row r="10" spans="1:14" x14ac:dyDescent="0.25">
      <c r="A10" t="s">
        <v>110</v>
      </c>
      <c r="B10" t="s">
        <v>106</v>
      </c>
      <c r="C10" s="34">
        <v>36</v>
      </c>
      <c r="D10" s="34">
        <f t="shared" si="1"/>
        <v>36</v>
      </c>
      <c r="F10" s="34"/>
      <c r="G10" s="34"/>
      <c r="H10" s="34"/>
    </row>
    <row r="11" spans="1:14" x14ac:dyDescent="0.25">
      <c r="A11" t="s">
        <v>111</v>
      </c>
      <c r="B11" t="s">
        <v>112</v>
      </c>
      <c r="C11" s="34">
        <v>36</v>
      </c>
      <c r="D11" s="34">
        <f t="shared" si="1"/>
        <v>36</v>
      </c>
      <c r="F11" s="34"/>
      <c r="G11" s="34"/>
      <c r="H11" s="34"/>
    </row>
    <row r="12" spans="1:14" x14ac:dyDescent="0.25">
      <c r="A12" t="s">
        <v>113</v>
      </c>
      <c r="B12" t="s">
        <v>112</v>
      </c>
      <c r="C12" s="34">
        <v>39</v>
      </c>
      <c r="D12" s="34">
        <f t="shared" si="1"/>
        <v>39</v>
      </c>
      <c r="F12" s="34"/>
      <c r="G12" s="34"/>
      <c r="H12" s="34"/>
    </row>
    <row r="13" spans="1:14" x14ac:dyDescent="0.25">
      <c r="A13" t="s">
        <v>114</v>
      </c>
      <c r="B13" t="s">
        <v>98</v>
      </c>
      <c r="C13" s="34">
        <v>39</v>
      </c>
      <c r="D13" s="34">
        <f t="shared" si="1"/>
        <v>39</v>
      </c>
      <c r="F13" s="34"/>
      <c r="G13" s="34"/>
      <c r="H13" s="34"/>
    </row>
    <row r="14" spans="1:14" x14ac:dyDescent="0.25">
      <c r="A14" t="s">
        <v>115</v>
      </c>
      <c r="B14" t="s">
        <v>112</v>
      </c>
      <c r="C14" s="34">
        <v>30</v>
      </c>
      <c r="D14" s="34">
        <f t="shared" si="1"/>
        <v>30</v>
      </c>
      <c r="F14" s="34"/>
      <c r="G14" s="34"/>
      <c r="H14" s="34"/>
    </row>
    <row r="15" spans="1:14" x14ac:dyDescent="0.25">
      <c r="A15" t="s">
        <v>116</v>
      </c>
      <c r="B15" t="s">
        <v>117</v>
      </c>
      <c r="C15" s="34">
        <v>52</v>
      </c>
      <c r="D15" s="34">
        <f t="shared" ref="D15:D28" si="2">C15+offset_fio</f>
        <v>52</v>
      </c>
      <c r="F15" s="34"/>
      <c r="G15" s="34"/>
      <c r="H15" s="34"/>
    </row>
    <row r="16" spans="1:14" x14ac:dyDescent="0.25">
      <c r="A16" t="s">
        <v>118</v>
      </c>
      <c r="B16" t="s">
        <v>119</v>
      </c>
      <c r="C16" s="34">
        <v>52</v>
      </c>
      <c r="D16" s="34">
        <f t="shared" si="2"/>
        <v>52</v>
      </c>
      <c r="F16" s="34"/>
      <c r="G16" s="34"/>
      <c r="H16" s="34"/>
    </row>
    <row r="17" spans="1:8" x14ac:dyDescent="0.25">
      <c r="A17" t="s">
        <v>120</v>
      </c>
      <c r="B17" t="s">
        <v>121</v>
      </c>
      <c r="C17" s="34">
        <v>52</v>
      </c>
      <c r="D17" s="34">
        <f t="shared" si="2"/>
        <v>52</v>
      </c>
      <c r="F17" s="34"/>
      <c r="G17" s="34"/>
      <c r="H17" s="34"/>
    </row>
    <row r="18" spans="1:8" x14ac:dyDescent="0.25">
      <c r="A18" t="s">
        <v>122</v>
      </c>
      <c r="B18" t="s">
        <v>123</v>
      </c>
      <c r="C18" s="34">
        <v>52</v>
      </c>
      <c r="D18" s="34">
        <f t="shared" si="2"/>
        <v>52</v>
      </c>
      <c r="F18" s="34"/>
      <c r="G18" s="34"/>
      <c r="H18" s="34"/>
    </row>
    <row r="19" spans="1:8" x14ac:dyDescent="0.25">
      <c r="A19" t="s">
        <v>124</v>
      </c>
      <c r="B19" t="s">
        <v>125</v>
      </c>
      <c r="C19" s="34">
        <v>56</v>
      </c>
      <c r="D19" s="34">
        <f t="shared" si="2"/>
        <v>56</v>
      </c>
      <c r="F19" s="34"/>
      <c r="G19" s="34"/>
      <c r="H19" s="34"/>
    </row>
    <row r="20" spans="1:8" x14ac:dyDescent="0.25">
      <c r="A20" t="s">
        <v>126</v>
      </c>
      <c r="B20" t="s">
        <v>127</v>
      </c>
      <c r="C20" s="34">
        <v>56</v>
      </c>
      <c r="D20" s="34">
        <f t="shared" si="2"/>
        <v>56</v>
      </c>
      <c r="E20" s="34"/>
      <c r="F20" s="34"/>
      <c r="G20" s="34"/>
    </row>
    <row r="21" spans="1:8" x14ac:dyDescent="0.25">
      <c r="A21" t="s">
        <v>128</v>
      </c>
      <c r="B21" t="s">
        <v>112</v>
      </c>
      <c r="C21" s="34">
        <v>56</v>
      </c>
      <c r="D21" s="34">
        <f t="shared" si="2"/>
        <v>56</v>
      </c>
      <c r="E21" s="34"/>
      <c r="F21" s="34"/>
      <c r="G21" s="34"/>
    </row>
    <row r="22" spans="1:8" x14ac:dyDescent="0.25">
      <c r="A22" t="s">
        <v>129</v>
      </c>
      <c r="B22" t="s">
        <v>117</v>
      </c>
      <c r="C22" s="34">
        <v>60</v>
      </c>
      <c r="D22" s="34">
        <f t="shared" si="2"/>
        <v>60</v>
      </c>
      <c r="E22" s="34"/>
      <c r="F22" s="34"/>
      <c r="G22" s="34"/>
    </row>
    <row r="23" spans="1:8" x14ac:dyDescent="0.25">
      <c r="A23" t="s">
        <v>130</v>
      </c>
      <c r="B23" t="s">
        <v>112</v>
      </c>
      <c r="C23" s="34">
        <v>60</v>
      </c>
      <c r="D23" s="34">
        <f t="shared" si="2"/>
        <v>60</v>
      </c>
      <c r="E23" s="34"/>
      <c r="F23" s="34"/>
      <c r="G23" s="34"/>
    </row>
    <row r="24" spans="1:8" x14ac:dyDescent="0.25">
      <c r="A24" t="s">
        <v>131</v>
      </c>
      <c r="B24" t="s">
        <v>132</v>
      </c>
      <c r="C24" s="34">
        <v>63</v>
      </c>
      <c r="D24" s="34">
        <f t="shared" si="2"/>
        <v>63</v>
      </c>
      <c r="E24" s="34"/>
      <c r="F24" s="34"/>
      <c r="G24" s="34"/>
    </row>
    <row r="25" spans="1:8" x14ac:dyDescent="0.25">
      <c r="A25" t="s">
        <v>133</v>
      </c>
      <c r="B25" t="s">
        <v>132</v>
      </c>
      <c r="C25" s="34">
        <v>66</v>
      </c>
      <c r="D25" s="34">
        <f t="shared" si="2"/>
        <v>66</v>
      </c>
      <c r="E25" s="34"/>
      <c r="F25" s="34"/>
      <c r="G25" s="34"/>
    </row>
    <row r="26" spans="1:8" x14ac:dyDescent="0.25">
      <c r="A26" t="s">
        <v>134</v>
      </c>
      <c r="B26" t="s">
        <v>117</v>
      </c>
      <c r="C26" s="34">
        <v>77</v>
      </c>
      <c r="D26" s="34">
        <f t="shared" si="2"/>
        <v>77</v>
      </c>
      <c r="E26" s="34"/>
      <c r="F26" s="34"/>
      <c r="G26" s="34"/>
    </row>
    <row r="27" spans="1:8" x14ac:dyDescent="0.25">
      <c r="A27" t="s">
        <v>135</v>
      </c>
      <c r="B27" t="s">
        <v>125</v>
      </c>
      <c r="C27" s="34">
        <v>80</v>
      </c>
      <c r="D27" s="34">
        <f t="shared" si="2"/>
        <v>80</v>
      </c>
      <c r="E27" s="34"/>
      <c r="F27" s="34"/>
      <c r="G27" s="34"/>
    </row>
    <row r="28" spans="1:8" x14ac:dyDescent="0.25">
      <c r="A28" t="s">
        <v>136</v>
      </c>
      <c r="B28" t="s">
        <v>125</v>
      </c>
      <c r="C28" s="34">
        <v>83</v>
      </c>
      <c r="D28" s="34">
        <f t="shared" si="2"/>
        <v>83</v>
      </c>
      <c r="E28" s="34"/>
      <c r="F28" s="34"/>
      <c r="G28" s="34"/>
    </row>
    <row r="29" spans="1:8" x14ac:dyDescent="0.25">
      <c r="A29" t="s">
        <v>137</v>
      </c>
      <c r="B29" t="s">
        <v>249</v>
      </c>
      <c r="C29" s="34">
        <v>55</v>
      </c>
      <c r="D29" s="34">
        <f t="shared" ref="D29:D34" si="3">C29+offset_fio+offset_fdocument</f>
        <v>55</v>
      </c>
      <c r="E29" s="34"/>
      <c r="F29" s="34"/>
      <c r="G29" s="34"/>
    </row>
    <row r="30" spans="1:8" x14ac:dyDescent="0.25">
      <c r="A30" t="s">
        <v>138</v>
      </c>
      <c r="B30" t="s">
        <v>98</v>
      </c>
      <c r="C30" s="34">
        <v>58</v>
      </c>
      <c r="D30" s="34">
        <f t="shared" si="3"/>
        <v>58</v>
      </c>
      <c r="E30" s="34"/>
      <c r="F30" s="34"/>
      <c r="G30" s="34"/>
    </row>
    <row r="31" spans="1:8" x14ac:dyDescent="0.25">
      <c r="A31" t="s">
        <v>139</v>
      </c>
      <c r="B31" t="s">
        <v>250</v>
      </c>
      <c r="C31" s="34">
        <v>55</v>
      </c>
      <c r="D31" s="34">
        <f t="shared" si="3"/>
        <v>55</v>
      </c>
      <c r="E31" s="34"/>
      <c r="F31" s="34"/>
      <c r="G31" s="34"/>
    </row>
    <row r="32" spans="1:8" x14ac:dyDescent="0.25">
      <c r="A32" t="s">
        <v>140</v>
      </c>
      <c r="B32" t="s">
        <v>251</v>
      </c>
      <c r="C32" s="34">
        <v>58</v>
      </c>
      <c r="D32" s="34">
        <f t="shared" si="3"/>
        <v>58</v>
      </c>
      <c r="E32" s="34"/>
      <c r="F32" s="34"/>
      <c r="G32" s="34"/>
    </row>
    <row r="33" spans="1:7" x14ac:dyDescent="0.25">
      <c r="A33" t="s">
        <v>141</v>
      </c>
      <c r="B33" t="s">
        <v>252</v>
      </c>
      <c r="C33" s="34">
        <v>58</v>
      </c>
      <c r="D33" s="34">
        <f t="shared" si="3"/>
        <v>58</v>
      </c>
      <c r="E33" s="34"/>
      <c r="F33" s="34"/>
      <c r="G33" s="34"/>
    </row>
    <row r="34" spans="1:7" x14ac:dyDescent="0.25">
      <c r="A34" t="s">
        <v>142</v>
      </c>
      <c r="B34" t="s">
        <v>253</v>
      </c>
      <c r="C34" s="34">
        <v>58</v>
      </c>
      <c r="D34" s="34">
        <f t="shared" si="3"/>
        <v>58</v>
      </c>
      <c r="E34" s="34"/>
      <c r="F34" s="34"/>
      <c r="G34" s="34"/>
    </row>
    <row r="35" spans="1:7" x14ac:dyDescent="0.25">
      <c r="A35" t="s">
        <v>245</v>
      </c>
      <c r="B35" t="s">
        <v>119</v>
      </c>
      <c r="C35">
        <v>30</v>
      </c>
      <c r="D35">
        <f>C35+offset_fio</f>
        <v>30</v>
      </c>
      <c r="E35" s="34"/>
      <c r="F35" s="34"/>
      <c r="G35" s="34"/>
    </row>
    <row r="36" spans="1:7" x14ac:dyDescent="0.25">
      <c r="A36" t="s">
        <v>246</v>
      </c>
      <c r="B36" t="s">
        <v>119</v>
      </c>
      <c r="C36" s="34">
        <v>33</v>
      </c>
      <c r="D36" s="34">
        <f>C36+offset_fio</f>
        <v>33</v>
      </c>
      <c r="E36" s="34"/>
      <c r="F36" s="34"/>
      <c r="G36" s="34"/>
    </row>
    <row r="37" spans="1:7" x14ac:dyDescent="0.25">
      <c r="A37" t="s">
        <v>143</v>
      </c>
      <c r="B37" t="s">
        <v>98</v>
      </c>
      <c r="C37" s="34">
        <v>75</v>
      </c>
      <c r="D37" s="34">
        <f t="shared" ref="D37:D69" si="4">C37+offset_fio+offset_fdocument</f>
        <v>75</v>
      </c>
      <c r="E37" s="34"/>
      <c r="F37" s="34"/>
      <c r="G37" s="34"/>
    </row>
    <row r="38" spans="1:7" x14ac:dyDescent="0.25">
      <c r="A38" t="s">
        <v>144</v>
      </c>
      <c r="B38" t="s">
        <v>98</v>
      </c>
      <c r="C38" s="34">
        <v>78</v>
      </c>
      <c r="D38" s="34">
        <f t="shared" si="4"/>
        <v>78</v>
      </c>
      <c r="E38" s="34"/>
      <c r="F38" s="34"/>
      <c r="G38" s="34"/>
    </row>
    <row r="39" spans="1:7" x14ac:dyDescent="0.25">
      <c r="A39" t="s">
        <v>145</v>
      </c>
      <c r="B39" t="s">
        <v>98</v>
      </c>
      <c r="C39" s="34">
        <v>81</v>
      </c>
      <c r="D39" s="34">
        <f t="shared" si="4"/>
        <v>81</v>
      </c>
      <c r="E39" s="34"/>
      <c r="F39" s="34"/>
      <c r="G39" s="34"/>
    </row>
    <row r="40" spans="1:7" x14ac:dyDescent="0.25">
      <c r="A40" t="s">
        <v>146</v>
      </c>
      <c r="B40" t="s">
        <v>106</v>
      </c>
      <c r="C40" s="34">
        <v>75</v>
      </c>
      <c r="D40" s="34">
        <f t="shared" si="4"/>
        <v>75</v>
      </c>
      <c r="E40" s="34"/>
      <c r="F40" s="34"/>
      <c r="G40" s="34"/>
    </row>
    <row r="41" spans="1:7" x14ac:dyDescent="0.25">
      <c r="A41" t="s">
        <v>147</v>
      </c>
      <c r="B41" t="s">
        <v>104</v>
      </c>
      <c r="C41" s="34">
        <v>72</v>
      </c>
      <c r="D41" s="34">
        <f t="shared" si="4"/>
        <v>72</v>
      </c>
      <c r="E41" s="34"/>
      <c r="F41" s="34"/>
      <c r="G41" s="34"/>
    </row>
    <row r="42" spans="1:7" x14ac:dyDescent="0.25">
      <c r="A42" t="s">
        <v>148</v>
      </c>
      <c r="B42" t="s">
        <v>106</v>
      </c>
      <c r="C42" s="34">
        <v>78</v>
      </c>
      <c r="D42" s="34">
        <f t="shared" si="4"/>
        <v>78</v>
      </c>
      <c r="E42" s="34"/>
      <c r="F42" s="34"/>
      <c r="G42" s="34"/>
    </row>
    <row r="43" spans="1:7" x14ac:dyDescent="0.25">
      <c r="A43" t="s">
        <v>149</v>
      </c>
      <c r="B43" t="s">
        <v>98</v>
      </c>
      <c r="C43" s="34">
        <v>84</v>
      </c>
      <c r="D43" s="34">
        <f t="shared" si="4"/>
        <v>84</v>
      </c>
      <c r="E43" s="34"/>
      <c r="F43" s="34"/>
      <c r="G43" s="34"/>
    </row>
    <row r="44" spans="1:7" x14ac:dyDescent="0.25">
      <c r="A44" t="s">
        <v>150</v>
      </c>
      <c r="B44" t="s">
        <v>109</v>
      </c>
      <c r="C44" s="34">
        <v>84</v>
      </c>
      <c r="D44" s="34">
        <f t="shared" si="4"/>
        <v>84</v>
      </c>
      <c r="E44" s="34"/>
      <c r="F44" s="34"/>
      <c r="G44" s="34"/>
    </row>
    <row r="45" spans="1:7" x14ac:dyDescent="0.25">
      <c r="A45" t="s">
        <v>151</v>
      </c>
      <c r="B45" t="s">
        <v>258</v>
      </c>
      <c r="C45" s="34">
        <v>84</v>
      </c>
      <c r="D45" s="34">
        <f t="shared" si="4"/>
        <v>84</v>
      </c>
      <c r="E45" s="34"/>
      <c r="F45" s="34"/>
      <c r="G45" s="34"/>
    </row>
    <row r="46" spans="1:7" x14ac:dyDescent="0.25">
      <c r="A46" t="s">
        <v>152</v>
      </c>
      <c r="B46" t="s">
        <v>112</v>
      </c>
      <c r="C46" s="34">
        <v>84</v>
      </c>
      <c r="D46" s="34">
        <f t="shared" si="4"/>
        <v>84</v>
      </c>
      <c r="E46" s="34"/>
      <c r="F46" s="34"/>
      <c r="G46" s="34"/>
    </row>
    <row r="47" spans="1:7" x14ac:dyDescent="0.25">
      <c r="A47" t="s">
        <v>153</v>
      </c>
      <c r="B47" t="s">
        <v>112</v>
      </c>
      <c r="C47" s="34">
        <v>87</v>
      </c>
      <c r="D47" s="34">
        <f t="shared" si="4"/>
        <v>87</v>
      </c>
      <c r="E47" s="34"/>
      <c r="F47" s="34"/>
      <c r="G47" s="34"/>
    </row>
    <row r="48" spans="1:7" x14ac:dyDescent="0.25">
      <c r="A48" t="s">
        <v>154</v>
      </c>
      <c r="B48" t="s">
        <v>98</v>
      </c>
      <c r="C48" s="34">
        <v>87</v>
      </c>
      <c r="D48" s="34">
        <f t="shared" si="4"/>
        <v>87</v>
      </c>
      <c r="E48" s="34"/>
      <c r="F48" s="34"/>
      <c r="G48" s="34"/>
    </row>
    <row r="49" spans="1:7" x14ac:dyDescent="0.25">
      <c r="A49" t="s">
        <v>155</v>
      </c>
      <c r="B49" t="s">
        <v>252</v>
      </c>
      <c r="C49" s="34">
        <v>81</v>
      </c>
      <c r="D49" s="34">
        <f t="shared" si="4"/>
        <v>81</v>
      </c>
      <c r="E49" s="34"/>
      <c r="F49" s="34"/>
      <c r="G49" s="34"/>
    </row>
    <row r="50" spans="1:7" x14ac:dyDescent="0.25">
      <c r="A50" t="s">
        <v>156</v>
      </c>
      <c r="B50" t="s">
        <v>98</v>
      </c>
      <c r="C50" s="34">
        <v>101</v>
      </c>
      <c r="D50" s="34">
        <f t="shared" si="4"/>
        <v>101</v>
      </c>
      <c r="E50" s="34"/>
      <c r="F50" s="34"/>
      <c r="G50" s="34"/>
    </row>
    <row r="51" spans="1:7" x14ac:dyDescent="0.25">
      <c r="A51" t="s">
        <v>157</v>
      </c>
      <c r="B51" t="s">
        <v>254</v>
      </c>
      <c r="C51" s="34">
        <v>101</v>
      </c>
      <c r="D51" s="34">
        <f t="shared" si="4"/>
        <v>101</v>
      </c>
      <c r="E51" s="34"/>
      <c r="F51" s="34"/>
      <c r="G51" s="34"/>
    </row>
    <row r="52" spans="1:7" x14ac:dyDescent="0.25">
      <c r="A52" t="s">
        <v>158</v>
      </c>
      <c r="B52" t="s">
        <v>255</v>
      </c>
      <c r="C52" s="34">
        <v>101</v>
      </c>
      <c r="D52" s="34">
        <f t="shared" si="4"/>
        <v>101</v>
      </c>
      <c r="E52" s="34"/>
      <c r="F52" s="34"/>
      <c r="G52" s="34"/>
    </row>
    <row r="53" spans="1:7" x14ac:dyDescent="0.25">
      <c r="A53" t="s">
        <v>159</v>
      </c>
      <c r="B53" t="s">
        <v>256</v>
      </c>
      <c r="C53" s="34">
        <v>101</v>
      </c>
      <c r="D53" s="34">
        <f t="shared" si="4"/>
        <v>101</v>
      </c>
      <c r="E53" s="34"/>
      <c r="F53" s="34"/>
      <c r="G53" s="34"/>
    </row>
    <row r="54" spans="1:7" x14ac:dyDescent="0.25">
      <c r="A54" t="s">
        <v>160</v>
      </c>
      <c r="B54" t="s">
        <v>125</v>
      </c>
      <c r="C54" s="34">
        <v>105</v>
      </c>
      <c r="D54" s="34">
        <f t="shared" si="4"/>
        <v>105</v>
      </c>
      <c r="E54" s="34"/>
      <c r="F54" s="34"/>
      <c r="G54" s="34"/>
    </row>
    <row r="55" spans="1:7" x14ac:dyDescent="0.25">
      <c r="A55" t="s">
        <v>161</v>
      </c>
      <c r="B55" t="s">
        <v>127</v>
      </c>
      <c r="C55" s="34">
        <v>105</v>
      </c>
      <c r="D55" s="34">
        <f t="shared" si="4"/>
        <v>105</v>
      </c>
      <c r="E55" s="34"/>
      <c r="F55" s="34"/>
      <c r="G55" s="34"/>
    </row>
    <row r="56" spans="1:7" x14ac:dyDescent="0.25">
      <c r="A56" t="s">
        <v>162</v>
      </c>
      <c r="B56" t="s">
        <v>112</v>
      </c>
      <c r="C56" s="34">
        <v>105</v>
      </c>
      <c r="D56" s="34">
        <f t="shared" si="4"/>
        <v>105</v>
      </c>
      <c r="E56" s="34"/>
      <c r="F56" s="34"/>
      <c r="G56" s="34"/>
    </row>
    <row r="57" spans="1:7" x14ac:dyDescent="0.25">
      <c r="A57" t="s">
        <v>163</v>
      </c>
      <c r="B57" t="s">
        <v>117</v>
      </c>
      <c r="C57" s="34">
        <v>109</v>
      </c>
      <c r="D57" s="34">
        <f t="shared" si="4"/>
        <v>109</v>
      </c>
      <c r="E57" s="34"/>
      <c r="F57" s="34"/>
      <c r="G57" s="34"/>
    </row>
    <row r="58" spans="1:7" x14ac:dyDescent="0.25">
      <c r="A58" t="s">
        <v>164</v>
      </c>
      <c r="B58" t="s">
        <v>112</v>
      </c>
      <c r="C58" s="34">
        <v>109</v>
      </c>
      <c r="D58" s="34">
        <f t="shared" si="4"/>
        <v>109</v>
      </c>
      <c r="E58" s="34"/>
      <c r="F58" s="34"/>
      <c r="G58" s="34"/>
    </row>
    <row r="59" spans="1:7" x14ac:dyDescent="0.25">
      <c r="A59" t="s">
        <v>165</v>
      </c>
      <c r="B59" t="s">
        <v>257</v>
      </c>
      <c r="C59" s="34">
        <v>112</v>
      </c>
      <c r="D59" s="34">
        <f t="shared" si="4"/>
        <v>112</v>
      </c>
      <c r="E59" s="34"/>
      <c r="F59" s="34"/>
      <c r="G59" s="34"/>
    </row>
    <row r="60" spans="1:7" x14ac:dyDescent="0.25">
      <c r="A60" t="s">
        <v>166</v>
      </c>
      <c r="B60" t="s">
        <v>257</v>
      </c>
      <c r="C60" s="34">
        <v>115</v>
      </c>
      <c r="D60" s="34">
        <f t="shared" si="4"/>
        <v>115</v>
      </c>
      <c r="E60" s="34"/>
      <c r="F60" s="34"/>
      <c r="G60" s="34"/>
    </row>
    <row r="61" spans="1:7" x14ac:dyDescent="0.25">
      <c r="A61" t="s">
        <v>167</v>
      </c>
      <c r="B61" t="s">
        <v>117</v>
      </c>
      <c r="C61" s="34">
        <v>126</v>
      </c>
      <c r="D61" s="34">
        <f t="shared" si="4"/>
        <v>126</v>
      </c>
      <c r="E61" s="34"/>
      <c r="F61" s="34"/>
      <c r="G61" s="34"/>
    </row>
    <row r="62" spans="1:7" x14ac:dyDescent="0.25">
      <c r="A62" t="s">
        <v>168</v>
      </c>
      <c r="B62" t="s">
        <v>102</v>
      </c>
      <c r="C62" s="34">
        <v>129</v>
      </c>
      <c r="D62" s="34">
        <f t="shared" si="4"/>
        <v>129</v>
      </c>
      <c r="E62" s="34"/>
      <c r="F62" s="34"/>
      <c r="G62" s="34"/>
    </row>
    <row r="63" spans="1:7" x14ac:dyDescent="0.25">
      <c r="A63" t="s">
        <v>169</v>
      </c>
      <c r="B63" t="s">
        <v>102</v>
      </c>
      <c r="C63" s="34">
        <v>132</v>
      </c>
      <c r="D63" s="34">
        <f t="shared" si="4"/>
        <v>132</v>
      </c>
      <c r="E63" s="34"/>
      <c r="F63" s="34"/>
      <c r="G63" s="34"/>
    </row>
    <row r="64" spans="1:7" x14ac:dyDescent="0.25">
      <c r="A64" t="s">
        <v>170</v>
      </c>
      <c r="B64" t="s">
        <v>249</v>
      </c>
      <c r="C64" s="34">
        <v>91</v>
      </c>
      <c r="D64" s="34">
        <f t="shared" si="4"/>
        <v>91</v>
      </c>
      <c r="E64" s="34"/>
      <c r="F64" s="34"/>
      <c r="G64" s="34"/>
    </row>
    <row r="65" spans="1:7" x14ac:dyDescent="0.25">
      <c r="A65" t="s">
        <v>171</v>
      </c>
      <c r="B65" t="s">
        <v>98</v>
      </c>
      <c r="C65" s="34">
        <v>94</v>
      </c>
      <c r="D65" s="34">
        <f t="shared" si="4"/>
        <v>94</v>
      </c>
      <c r="E65" s="34"/>
      <c r="F65" s="34"/>
      <c r="G65" s="34"/>
    </row>
    <row r="66" spans="1:7" x14ac:dyDescent="0.25">
      <c r="A66" t="s">
        <v>172</v>
      </c>
      <c r="B66" t="s">
        <v>250</v>
      </c>
      <c r="C66" s="34">
        <v>91</v>
      </c>
      <c r="D66" s="34">
        <f t="shared" si="4"/>
        <v>91</v>
      </c>
      <c r="E66" s="34"/>
      <c r="F66" s="34"/>
      <c r="G66" s="34"/>
    </row>
    <row r="67" spans="1:7" x14ac:dyDescent="0.25">
      <c r="A67" t="s">
        <v>173</v>
      </c>
      <c r="B67" t="s">
        <v>251</v>
      </c>
      <c r="C67" s="34">
        <v>94</v>
      </c>
      <c r="D67" s="34">
        <f t="shared" si="4"/>
        <v>94</v>
      </c>
      <c r="E67" s="34"/>
      <c r="F67" s="34"/>
      <c r="G67" s="34"/>
    </row>
    <row r="68" spans="1:7" x14ac:dyDescent="0.25">
      <c r="A68" t="s">
        <v>174</v>
      </c>
      <c r="B68" t="s">
        <v>252</v>
      </c>
      <c r="C68" s="34">
        <v>94</v>
      </c>
      <c r="D68" s="34">
        <f t="shared" si="4"/>
        <v>94</v>
      </c>
      <c r="E68" s="34"/>
      <c r="F68" s="34"/>
      <c r="G68" s="34"/>
    </row>
    <row r="69" spans="1:7" x14ac:dyDescent="0.25">
      <c r="A69" t="s">
        <v>175</v>
      </c>
      <c r="B69" t="s">
        <v>253</v>
      </c>
      <c r="C69" s="34">
        <v>94</v>
      </c>
      <c r="D69" s="34">
        <f t="shared" si="4"/>
        <v>94</v>
      </c>
      <c r="E69" s="34"/>
      <c r="F69" s="34"/>
      <c r="G69" s="34"/>
    </row>
    <row r="70" spans="1:7" x14ac:dyDescent="0.25">
      <c r="A70" t="s">
        <v>176</v>
      </c>
      <c r="B70" t="s">
        <v>98</v>
      </c>
      <c r="C70" s="34">
        <v>101</v>
      </c>
      <c r="D70" s="34">
        <f t="shared" ref="D70:D102" si="5">C70+offset_fio+offset_fdocument+offset_FBenef1</f>
        <v>101</v>
      </c>
      <c r="E70" s="34"/>
      <c r="F70" s="34"/>
      <c r="G70" s="34"/>
    </row>
    <row r="71" spans="1:7" x14ac:dyDescent="0.25">
      <c r="A71" t="s">
        <v>177</v>
      </c>
      <c r="B71" t="s">
        <v>98</v>
      </c>
      <c r="C71" s="34">
        <v>104</v>
      </c>
      <c r="D71" s="34">
        <f t="shared" si="5"/>
        <v>104</v>
      </c>
      <c r="E71" s="34"/>
      <c r="F71" s="34"/>
      <c r="G71" s="34"/>
    </row>
    <row r="72" spans="1:7" x14ac:dyDescent="0.25">
      <c r="A72" t="s">
        <v>178</v>
      </c>
      <c r="B72" t="s">
        <v>98</v>
      </c>
      <c r="C72" s="34">
        <v>107</v>
      </c>
      <c r="D72" s="34">
        <f t="shared" si="5"/>
        <v>107</v>
      </c>
      <c r="E72" s="34"/>
      <c r="F72" s="34"/>
      <c r="G72" s="34"/>
    </row>
    <row r="73" spans="1:7" x14ac:dyDescent="0.25">
      <c r="A73" t="s">
        <v>179</v>
      </c>
      <c r="B73" t="s">
        <v>106</v>
      </c>
      <c r="C73" s="34">
        <v>101</v>
      </c>
      <c r="D73" s="34">
        <f t="shared" si="5"/>
        <v>101</v>
      </c>
      <c r="E73" s="34"/>
      <c r="F73" s="34"/>
      <c r="G73" s="34"/>
    </row>
    <row r="74" spans="1:7" x14ac:dyDescent="0.25">
      <c r="A74" t="s">
        <v>180</v>
      </c>
      <c r="B74" t="s">
        <v>104</v>
      </c>
      <c r="C74" s="34">
        <v>97</v>
      </c>
      <c r="D74" s="34">
        <f t="shared" si="5"/>
        <v>97</v>
      </c>
      <c r="E74" s="34"/>
      <c r="F74" s="34"/>
      <c r="G74" s="34"/>
    </row>
    <row r="75" spans="1:7" x14ac:dyDescent="0.25">
      <c r="A75" t="s">
        <v>181</v>
      </c>
      <c r="B75" t="s">
        <v>106</v>
      </c>
      <c r="C75" s="34">
        <v>104</v>
      </c>
      <c r="D75" s="34">
        <f t="shared" si="5"/>
        <v>104</v>
      </c>
      <c r="E75" s="34"/>
      <c r="F75" s="34"/>
      <c r="G75" s="34"/>
    </row>
    <row r="76" spans="1:7" x14ac:dyDescent="0.25">
      <c r="A76" t="s">
        <v>182</v>
      </c>
      <c r="B76" t="s">
        <v>98</v>
      </c>
      <c r="C76" s="34">
        <v>110</v>
      </c>
      <c r="D76" s="34">
        <f t="shared" si="5"/>
        <v>110</v>
      </c>
      <c r="E76" s="34"/>
      <c r="F76" s="34"/>
      <c r="G76" s="34"/>
    </row>
    <row r="77" spans="1:7" x14ac:dyDescent="0.25">
      <c r="A77" t="s">
        <v>183</v>
      </c>
      <c r="B77" t="s">
        <v>109</v>
      </c>
      <c r="C77" s="34">
        <v>110</v>
      </c>
      <c r="D77" s="34">
        <f t="shared" si="5"/>
        <v>110</v>
      </c>
      <c r="E77" s="34"/>
      <c r="F77" s="34"/>
      <c r="G77" s="34"/>
    </row>
    <row r="78" spans="1:7" x14ac:dyDescent="0.25">
      <c r="A78" t="s">
        <v>184</v>
      </c>
      <c r="B78" t="s">
        <v>258</v>
      </c>
      <c r="C78" s="34">
        <v>110</v>
      </c>
      <c r="D78" s="34">
        <f t="shared" si="5"/>
        <v>110</v>
      </c>
      <c r="E78" s="34"/>
      <c r="F78" s="34"/>
      <c r="G78" s="34"/>
    </row>
    <row r="79" spans="1:7" x14ac:dyDescent="0.25">
      <c r="A79" t="s">
        <v>185</v>
      </c>
      <c r="B79" t="s">
        <v>112</v>
      </c>
      <c r="C79" s="34">
        <v>110</v>
      </c>
      <c r="D79" s="34">
        <f t="shared" si="5"/>
        <v>110</v>
      </c>
      <c r="E79" s="34"/>
      <c r="F79" s="34"/>
      <c r="G79" s="34"/>
    </row>
    <row r="80" spans="1:7" x14ac:dyDescent="0.25">
      <c r="A80" t="s">
        <v>186</v>
      </c>
      <c r="B80" t="s">
        <v>112</v>
      </c>
      <c r="C80" s="34">
        <v>113</v>
      </c>
      <c r="D80" s="34">
        <f t="shared" si="5"/>
        <v>113</v>
      </c>
      <c r="E80" s="34"/>
      <c r="F80" s="34"/>
      <c r="G80" s="34"/>
    </row>
    <row r="81" spans="1:7" x14ac:dyDescent="0.25">
      <c r="A81" t="s">
        <v>187</v>
      </c>
      <c r="B81" t="s">
        <v>98</v>
      </c>
      <c r="C81" s="34">
        <v>113</v>
      </c>
      <c r="D81" s="34">
        <f t="shared" si="5"/>
        <v>113</v>
      </c>
      <c r="E81" s="34"/>
      <c r="F81" s="34"/>
      <c r="G81" s="34"/>
    </row>
    <row r="82" spans="1:7" x14ac:dyDescent="0.25">
      <c r="A82" t="s">
        <v>188</v>
      </c>
      <c r="B82" t="s">
        <v>252</v>
      </c>
      <c r="C82" s="34">
        <v>107</v>
      </c>
      <c r="D82" s="34">
        <f t="shared" si="5"/>
        <v>107</v>
      </c>
      <c r="E82" s="34"/>
      <c r="F82" s="34"/>
      <c r="G82" s="34"/>
    </row>
    <row r="83" spans="1:7" x14ac:dyDescent="0.25">
      <c r="A83" t="s">
        <v>189</v>
      </c>
      <c r="B83" t="s">
        <v>98</v>
      </c>
      <c r="C83" s="34">
        <v>127</v>
      </c>
      <c r="D83" s="34">
        <f t="shared" si="5"/>
        <v>127</v>
      </c>
      <c r="E83" s="34"/>
      <c r="F83" s="34"/>
      <c r="G83" s="34"/>
    </row>
    <row r="84" spans="1:7" x14ac:dyDescent="0.25">
      <c r="A84" t="s">
        <v>190</v>
      </c>
      <c r="B84" t="s">
        <v>254</v>
      </c>
      <c r="C84" s="34">
        <v>127</v>
      </c>
      <c r="D84" s="34">
        <f t="shared" si="5"/>
        <v>127</v>
      </c>
      <c r="E84" s="34"/>
      <c r="F84" s="34"/>
      <c r="G84" s="34"/>
    </row>
    <row r="85" spans="1:7" x14ac:dyDescent="0.25">
      <c r="A85" t="s">
        <v>191</v>
      </c>
      <c r="B85" t="s">
        <v>255</v>
      </c>
      <c r="C85" s="34">
        <v>127</v>
      </c>
      <c r="D85" s="34">
        <f t="shared" si="5"/>
        <v>127</v>
      </c>
      <c r="E85" s="34"/>
      <c r="F85" s="34"/>
      <c r="G85" s="34"/>
    </row>
    <row r="86" spans="1:7" x14ac:dyDescent="0.25">
      <c r="A86" t="s">
        <v>192</v>
      </c>
      <c r="B86" t="s">
        <v>256</v>
      </c>
      <c r="C86" s="34">
        <v>127</v>
      </c>
      <c r="D86" s="34">
        <f t="shared" si="5"/>
        <v>127</v>
      </c>
      <c r="E86" s="34"/>
      <c r="F86" s="34"/>
      <c r="G86" s="34"/>
    </row>
    <row r="87" spans="1:7" x14ac:dyDescent="0.25">
      <c r="A87" t="s">
        <v>193</v>
      </c>
      <c r="B87" t="s">
        <v>125</v>
      </c>
      <c r="C87" s="34">
        <v>131</v>
      </c>
      <c r="D87" s="34">
        <f t="shared" si="5"/>
        <v>131</v>
      </c>
      <c r="E87" s="34"/>
      <c r="F87" s="34"/>
      <c r="G87" s="34"/>
    </row>
    <row r="88" spans="1:7" x14ac:dyDescent="0.25">
      <c r="A88" t="s">
        <v>194</v>
      </c>
      <c r="B88" t="s">
        <v>127</v>
      </c>
      <c r="C88" s="34">
        <v>131</v>
      </c>
      <c r="D88" s="34">
        <f t="shared" si="5"/>
        <v>131</v>
      </c>
      <c r="E88" s="34"/>
      <c r="F88" s="34"/>
      <c r="G88" s="34"/>
    </row>
    <row r="89" spans="1:7" x14ac:dyDescent="0.25">
      <c r="A89" t="s">
        <v>195</v>
      </c>
      <c r="B89" t="s">
        <v>112</v>
      </c>
      <c r="C89" s="34">
        <v>131</v>
      </c>
      <c r="D89" s="34">
        <f t="shared" si="5"/>
        <v>131</v>
      </c>
      <c r="E89" s="34"/>
      <c r="F89" s="34"/>
      <c r="G89" s="34"/>
    </row>
    <row r="90" spans="1:7" x14ac:dyDescent="0.25">
      <c r="A90" t="s">
        <v>196</v>
      </c>
      <c r="B90" t="s">
        <v>117</v>
      </c>
      <c r="C90" s="34">
        <v>135</v>
      </c>
      <c r="D90" s="34">
        <f t="shared" si="5"/>
        <v>135</v>
      </c>
      <c r="E90" s="34"/>
      <c r="F90" s="34"/>
      <c r="G90" s="34"/>
    </row>
    <row r="91" spans="1:7" x14ac:dyDescent="0.25">
      <c r="A91" t="s">
        <v>197</v>
      </c>
      <c r="B91" t="s">
        <v>112</v>
      </c>
      <c r="C91" s="34">
        <v>135</v>
      </c>
      <c r="D91" s="34">
        <f t="shared" si="5"/>
        <v>135</v>
      </c>
      <c r="E91" s="34"/>
      <c r="F91" s="34"/>
      <c r="G91" s="34"/>
    </row>
    <row r="92" spans="1:7" x14ac:dyDescent="0.25">
      <c r="A92" t="s">
        <v>198</v>
      </c>
      <c r="B92" t="s">
        <v>257</v>
      </c>
      <c r="C92" s="34">
        <v>138</v>
      </c>
      <c r="D92" s="34">
        <f t="shared" si="5"/>
        <v>138</v>
      </c>
      <c r="E92" s="34"/>
      <c r="F92" s="34"/>
      <c r="G92" s="34"/>
    </row>
    <row r="93" spans="1:7" x14ac:dyDescent="0.25">
      <c r="A93" t="s">
        <v>199</v>
      </c>
      <c r="B93" t="s">
        <v>257</v>
      </c>
      <c r="C93" s="34">
        <v>141</v>
      </c>
      <c r="D93" s="34">
        <f t="shared" si="5"/>
        <v>141</v>
      </c>
      <c r="E93" s="34"/>
      <c r="F93" s="34"/>
      <c r="G93" s="34"/>
    </row>
    <row r="94" spans="1:7" x14ac:dyDescent="0.25">
      <c r="A94" t="s">
        <v>200</v>
      </c>
      <c r="B94" t="s">
        <v>117</v>
      </c>
      <c r="C94" s="34">
        <v>152</v>
      </c>
      <c r="D94" s="34">
        <f t="shared" si="5"/>
        <v>152</v>
      </c>
      <c r="E94" s="34"/>
      <c r="F94" s="34"/>
      <c r="G94" s="34"/>
    </row>
    <row r="95" spans="1:7" x14ac:dyDescent="0.25">
      <c r="A95" t="s">
        <v>201</v>
      </c>
      <c r="B95" t="s">
        <v>102</v>
      </c>
      <c r="C95" s="34">
        <v>155</v>
      </c>
      <c r="D95" s="34">
        <f t="shared" si="5"/>
        <v>155</v>
      </c>
      <c r="E95" s="34"/>
      <c r="F95" s="34"/>
      <c r="G95" s="34"/>
    </row>
    <row r="96" spans="1:7" x14ac:dyDescent="0.25">
      <c r="A96" t="s">
        <v>202</v>
      </c>
      <c r="B96" t="s">
        <v>102</v>
      </c>
      <c r="C96" s="34">
        <v>158</v>
      </c>
      <c r="D96" s="34">
        <f t="shared" si="5"/>
        <v>158</v>
      </c>
      <c r="E96" s="34"/>
      <c r="F96" s="34"/>
      <c r="G96" s="34"/>
    </row>
    <row r="97" spans="1:7" x14ac:dyDescent="0.25">
      <c r="A97" t="s">
        <v>203</v>
      </c>
      <c r="B97" t="s">
        <v>249</v>
      </c>
      <c r="C97" s="34">
        <v>117</v>
      </c>
      <c r="D97" s="34">
        <f t="shared" si="5"/>
        <v>117</v>
      </c>
      <c r="E97" s="34"/>
      <c r="F97" s="34"/>
      <c r="G97" s="34"/>
    </row>
    <row r="98" spans="1:7" x14ac:dyDescent="0.25">
      <c r="A98" t="s">
        <v>204</v>
      </c>
      <c r="B98" t="s">
        <v>98</v>
      </c>
      <c r="C98" s="34">
        <v>120</v>
      </c>
      <c r="D98" s="34">
        <f t="shared" si="5"/>
        <v>120</v>
      </c>
      <c r="E98" s="34"/>
      <c r="F98" s="34"/>
      <c r="G98" s="34"/>
    </row>
    <row r="99" spans="1:7" x14ac:dyDescent="0.25">
      <c r="A99" t="s">
        <v>205</v>
      </c>
      <c r="B99" t="s">
        <v>250</v>
      </c>
      <c r="C99" s="34">
        <v>117</v>
      </c>
      <c r="D99" s="34">
        <f t="shared" si="5"/>
        <v>117</v>
      </c>
      <c r="E99" s="34"/>
      <c r="F99" s="34"/>
      <c r="G99" s="34"/>
    </row>
    <row r="100" spans="1:7" x14ac:dyDescent="0.25">
      <c r="A100" t="s">
        <v>206</v>
      </c>
      <c r="B100" t="s">
        <v>251</v>
      </c>
      <c r="C100" s="34">
        <v>120</v>
      </c>
      <c r="D100" s="34">
        <f t="shared" si="5"/>
        <v>120</v>
      </c>
      <c r="E100" s="34"/>
      <c r="F100" s="34"/>
      <c r="G100" s="34"/>
    </row>
    <row r="101" spans="1:7" x14ac:dyDescent="0.25">
      <c r="A101" t="s">
        <v>207</v>
      </c>
      <c r="B101" t="s">
        <v>252</v>
      </c>
      <c r="C101" s="34">
        <v>120</v>
      </c>
      <c r="D101" s="34">
        <f t="shared" si="5"/>
        <v>120</v>
      </c>
      <c r="E101" s="34"/>
      <c r="F101" s="34"/>
      <c r="G101" s="34"/>
    </row>
    <row r="102" spans="1:7" x14ac:dyDescent="0.25">
      <c r="A102" t="s">
        <v>208</v>
      </c>
      <c r="B102" t="s">
        <v>253</v>
      </c>
      <c r="C102" s="34">
        <v>120</v>
      </c>
      <c r="D102" s="34">
        <f t="shared" si="5"/>
        <v>120</v>
      </c>
      <c r="E102" s="34"/>
      <c r="F102" s="34"/>
      <c r="G102" s="34"/>
    </row>
    <row r="103" spans="1:7" x14ac:dyDescent="0.25">
      <c r="A103" t="s">
        <v>209</v>
      </c>
      <c r="B103" t="s">
        <v>98</v>
      </c>
      <c r="C103" s="34">
        <v>127</v>
      </c>
      <c r="D103" s="34">
        <f t="shared" ref="D103:D135" si="6">C103+offset_fio+offset_fdocument+offset_FBenef1+offset_FBenef2</f>
        <v>161</v>
      </c>
      <c r="E103" s="34"/>
      <c r="F103" s="34"/>
      <c r="G103" s="34"/>
    </row>
    <row r="104" spans="1:7" x14ac:dyDescent="0.25">
      <c r="A104" t="s">
        <v>210</v>
      </c>
      <c r="B104" t="s">
        <v>98</v>
      </c>
      <c r="C104" s="34">
        <v>130</v>
      </c>
      <c r="D104" s="34">
        <f t="shared" si="6"/>
        <v>164</v>
      </c>
      <c r="E104" s="34"/>
      <c r="F104" s="34"/>
      <c r="G104" s="34"/>
    </row>
    <row r="105" spans="1:7" x14ac:dyDescent="0.25">
      <c r="A105" t="s">
        <v>211</v>
      </c>
      <c r="B105" t="s">
        <v>98</v>
      </c>
      <c r="C105" s="34">
        <v>133</v>
      </c>
      <c r="D105" s="34">
        <f t="shared" si="6"/>
        <v>167</v>
      </c>
      <c r="E105" s="34"/>
      <c r="F105" s="34"/>
      <c r="G105" s="34"/>
    </row>
    <row r="106" spans="1:7" x14ac:dyDescent="0.25">
      <c r="A106" t="s">
        <v>212</v>
      </c>
      <c r="B106" t="s">
        <v>106</v>
      </c>
      <c r="C106" s="34">
        <v>127</v>
      </c>
      <c r="D106" s="34">
        <f t="shared" si="6"/>
        <v>161</v>
      </c>
      <c r="E106" s="34"/>
      <c r="F106" s="34"/>
      <c r="G106" s="34"/>
    </row>
    <row r="107" spans="1:7" x14ac:dyDescent="0.25">
      <c r="A107" t="s">
        <v>213</v>
      </c>
      <c r="B107" t="s">
        <v>104</v>
      </c>
      <c r="C107" s="34">
        <v>122</v>
      </c>
      <c r="D107" s="34">
        <f t="shared" si="6"/>
        <v>156</v>
      </c>
      <c r="E107" s="34"/>
      <c r="F107" s="34"/>
      <c r="G107" s="34"/>
    </row>
    <row r="108" spans="1:7" x14ac:dyDescent="0.25">
      <c r="A108" t="s">
        <v>214</v>
      </c>
      <c r="B108" t="s">
        <v>106</v>
      </c>
      <c r="C108" s="34">
        <v>130</v>
      </c>
      <c r="D108" s="34">
        <f t="shared" si="6"/>
        <v>164</v>
      </c>
      <c r="E108" s="34"/>
      <c r="F108" s="34"/>
      <c r="G108" s="34"/>
    </row>
    <row r="109" spans="1:7" x14ac:dyDescent="0.25">
      <c r="A109" t="s">
        <v>215</v>
      </c>
      <c r="B109" t="s">
        <v>98</v>
      </c>
      <c r="C109" s="34">
        <v>136</v>
      </c>
      <c r="D109" s="34">
        <f t="shared" si="6"/>
        <v>170</v>
      </c>
      <c r="E109" s="34"/>
      <c r="F109" s="34"/>
      <c r="G109" s="34"/>
    </row>
    <row r="110" spans="1:7" x14ac:dyDescent="0.25">
      <c r="A110" t="s">
        <v>216</v>
      </c>
      <c r="B110" t="s">
        <v>109</v>
      </c>
      <c r="C110" s="34">
        <v>136</v>
      </c>
      <c r="D110" s="34">
        <f t="shared" si="6"/>
        <v>170</v>
      </c>
      <c r="E110" s="34"/>
      <c r="F110" s="34"/>
      <c r="G110" s="34"/>
    </row>
    <row r="111" spans="1:7" x14ac:dyDescent="0.25">
      <c r="A111" t="s">
        <v>217</v>
      </c>
      <c r="B111" t="s">
        <v>258</v>
      </c>
      <c r="C111" s="34">
        <v>136</v>
      </c>
      <c r="D111" s="34">
        <f t="shared" si="6"/>
        <v>170</v>
      </c>
      <c r="E111" s="34"/>
      <c r="F111" s="34"/>
      <c r="G111" s="34"/>
    </row>
    <row r="112" spans="1:7" x14ac:dyDescent="0.25">
      <c r="A112" t="s">
        <v>218</v>
      </c>
      <c r="B112" t="s">
        <v>112</v>
      </c>
      <c r="C112" s="34">
        <v>136</v>
      </c>
      <c r="D112" s="34">
        <f t="shared" si="6"/>
        <v>170</v>
      </c>
      <c r="E112" s="34"/>
      <c r="F112" s="34"/>
      <c r="G112" s="34"/>
    </row>
    <row r="113" spans="1:7" x14ac:dyDescent="0.25">
      <c r="A113" t="s">
        <v>219</v>
      </c>
      <c r="B113" t="s">
        <v>112</v>
      </c>
      <c r="C113" s="34">
        <v>139</v>
      </c>
      <c r="D113" s="34">
        <f t="shared" si="6"/>
        <v>173</v>
      </c>
      <c r="E113" s="34"/>
      <c r="F113" s="34"/>
      <c r="G113" s="34"/>
    </row>
    <row r="114" spans="1:7" x14ac:dyDescent="0.25">
      <c r="A114" t="s">
        <v>220</v>
      </c>
      <c r="B114" t="s">
        <v>98</v>
      </c>
      <c r="C114" s="34">
        <v>139</v>
      </c>
      <c r="D114" s="34">
        <f t="shared" si="6"/>
        <v>173</v>
      </c>
      <c r="E114" s="34"/>
      <c r="F114" s="34"/>
      <c r="G114" s="34"/>
    </row>
    <row r="115" spans="1:7" x14ac:dyDescent="0.25">
      <c r="A115" t="s">
        <v>221</v>
      </c>
      <c r="B115" t="s">
        <v>252</v>
      </c>
      <c r="C115" s="34">
        <v>133</v>
      </c>
      <c r="D115" s="34">
        <f t="shared" si="6"/>
        <v>167</v>
      </c>
      <c r="E115" s="34"/>
      <c r="F115" s="34"/>
      <c r="G115" s="34"/>
    </row>
    <row r="116" spans="1:7" x14ac:dyDescent="0.25">
      <c r="A116" t="s">
        <v>222</v>
      </c>
      <c r="B116" t="s">
        <v>98</v>
      </c>
      <c r="C116" s="34">
        <v>153</v>
      </c>
      <c r="D116" s="34">
        <f t="shared" si="6"/>
        <v>187</v>
      </c>
      <c r="E116" s="34"/>
      <c r="F116" s="34"/>
      <c r="G116" s="34"/>
    </row>
    <row r="117" spans="1:7" x14ac:dyDescent="0.25">
      <c r="A117" t="s">
        <v>223</v>
      </c>
      <c r="B117" t="s">
        <v>254</v>
      </c>
      <c r="C117" s="34">
        <v>153</v>
      </c>
      <c r="D117" s="34">
        <f t="shared" si="6"/>
        <v>187</v>
      </c>
      <c r="E117" s="34"/>
      <c r="F117" s="34"/>
      <c r="G117" s="34"/>
    </row>
    <row r="118" spans="1:7" x14ac:dyDescent="0.25">
      <c r="A118" t="s">
        <v>224</v>
      </c>
      <c r="B118" t="s">
        <v>255</v>
      </c>
      <c r="C118" s="34">
        <v>153</v>
      </c>
      <c r="D118" s="34">
        <f t="shared" si="6"/>
        <v>187</v>
      </c>
      <c r="E118" s="34"/>
      <c r="F118" s="34"/>
      <c r="G118" s="34"/>
    </row>
    <row r="119" spans="1:7" x14ac:dyDescent="0.25">
      <c r="A119" t="s">
        <v>225</v>
      </c>
      <c r="B119" t="s">
        <v>256</v>
      </c>
      <c r="C119" s="34">
        <v>153</v>
      </c>
      <c r="D119" s="34">
        <f t="shared" si="6"/>
        <v>187</v>
      </c>
      <c r="E119" s="34"/>
      <c r="F119" s="34"/>
      <c r="G119" s="34"/>
    </row>
    <row r="120" spans="1:7" x14ac:dyDescent="0.25">
      <c r="A120" t="s">
        <v>226</v>
      </c>
      <c r="B120" t="s">
        <v>125</v>
      </c>
      <c r="C120" s="34">
        <v>157</v>
      </c>
      <c r="D120" s="34">
        <f t="shared" si="6"/>
        <v>191</v>
      </c>
      <c r="E120" s="34"/>
      <c r="F120" s="34"/>
      <c r="G120" s="34"/>
    </row>
    <row r="121" spans="1:7" x14ac:dyDescent="0.25">
      <c r="A121" t="s">
        <v>227</v>
      </c>
      <c r="B121" t="s">
        <v>127</v>
      </c>
      <c r="C121" s="34">
        <v>157</v>
      </c>
      <c r="D121" s="34">
        <f t="shared" si="6"/>
        <v>191</v>
      </c>
      <c r="E121" s="34"/>
      <c r="F121" s="34"/>
      <c r="G121" s="34"/>
    </row>
    <row r="122" spans="1:7" x14ac:dyDescent="0.25">
      <c r="A122" t="s">
        <v>228</v>
      </c>
      <c r="B122" t="s">
        <v>112</v>
      </c>
      <c r="C122" s="34">
        <v>157</v>
      </c>
      <c r="D122" s="34">
        <f t="shared" si="6"/>
        <v>191</v>
      </c>
      <c r="E122" s="34"/>
      <c r="F122" s="34"/>
      <c r="G122" s="34"/>
    </row>
    <row r="123" spans="1:7" x14ac:dyDescent="0.25">
      <c r="A123" t="s">
        <v>229</v>
      </c>
      <c r="B123" t="s">
        <v>117</v>
      </c>
      <c r="C123" s="34">
        <v>161</v>
      </c>
      <c r="D123" s="34">
        <f t="shared" si="6"/>
        <v>195</v>
      </c>
      <c r="E123" s="34"/>
      <c r="F123" s="34"/>
      <c r="G123" s="34"/>
    </row>
    <row r="124" spans="1:7" x14ac:dyDescent="0.25">
      <c r="A124" t="s">
        <v>230</v>
      </c>
      <c r="B124" t="s">
        <v>112</v>
      </c>
      <c r="C124" s="34">
        <v>161</v>
      </c>
      <c r="D124" s="34">
        <f t="shared" si="6"/>
        <v>195</v>
      </c>
      <c r="E124" s="34"/>
      <c r="F124" s="34"/>
      <c r="G124" s="34"/>
    </row>
    <row r="125" spans="1:7" x14ac:dyDescent="0.25">
      <c r="A125" t="s">
        <v>231</v>
      </c>
      <c r="B125" t="s">
        <v>257</v>
      </c>
      <c r="C125" s="34">
        <v>164</v>
      </c>
      <c r="D125" s="34">
        <f t="shared" si="6"/>
        <v>198</v>
      </c>
      <c r="E125" s="34"/>
      <c r="F125" s="34"/>
      <c r="G125" s="34"/>
    </row>
    <row r="126" spans="1:7" x14ac:dyDescent="0.25">
      <c r="A126" t="s">
        <v>232</v>
      </c>
      <c r="B126" t="s">
        <v>257</v>
      </c>
      <c r="C126" s="34">
        <v>167</v>
      </c>
      <c r="D126" s="34">
        <f t="shared" si="6"/>
        <v>201</v>
      </c>
      <c r="E126" s="34"/>
      <c r="F126" s="34"/>
      <c r="G126" s="34"/>
    </row>
    <row r="127" spans="1:7" x14ac:dyDescent="0.25">
      <c r="A127" t="s">
        <v>233</v>
      </c>
      <c r="B127" t="s">
        <v>117</v>
      </c>
      <c r="C127" s="34">
        <v>178</v>
      </c>
      <c r="D127" s="34">
        <f t="shared" si="6"/>
        <v>212</v>
      </c>
      <c r="E127" s="34"/>
      <c r="F127" s="34"/>
      <c r="G127" s="34"/>
    </row>
    <row r="128" spans="1:7" x14ac:dyDescent="0.25">
      <c r="A128" t="s">
        <v>234</v>
      </c>
      <c r="B128" t="s">
        <v>102</v>
      </c>
      <c r="C128" s="34">
        <v>181</v>
      </c>
      <c r="D128" s="34">
        <f t="shared" si="6"/>
        <v>215</v>
      </c>
      <c r="E128" s="34"/>
      <c r="F128" s="34"/>
      <c r="G128" s="34"/>
    </row>
    <row r="129" spans="1:7" x14ac:dyDescent="0.25">
      <c r="A129" t="s">
        <v>235</v>
      </c>
      <c r="B129" t="s">
        <v>102</v>
      </c>
      <c r="C129" s="34">
        <v>184</v>
      </c>
      <c r="D129" s="34">
        <f t="shared" si="6"/>
        <v>218</v>
      </c>
      <c r="E129" s="34"/>
      <c r="F129" s="34"/>
      <c r="G129" s="34"/>
    </row>
    <row r="130" spans="1:7" x14ac:dyDescent="0.25">
      <c r="A130" t="s">
        <v>236</v>
      </c>
      <c r="B130" t="s">
        <v>249</v>
      </c>
      <c r="C130" s="34">
        <v>143</v>
      </c>
      <c r="D130" s="34">
        <f t="shared" si="6"/>
        <v>177</v>
      </c>
      <c r="E130" s="34"/>
      <c r="F130" s="34"/>
      <c r="G130" s="34"/>
    </row>
    <row r="131" spans="1:7" x14ac:dyDescent="0.25">
      <c r="A131" t="s">
        <v>237</v>
      </c>
      <c r="B131" t="s">
        <v>98</v>
      </c>
      <c r="C131" s="34">
        <v>146</v>
      </c>
      <c r="D131" s="34">
        <f t="shared" si="6"/>
        <v>180</v>
      </c>
      <c r="E131" s="34"/>
      <c r="F131" s="34"/>
      <c r="G131" s="34"/>
    </row>
    <row r="132" spans="1:7" x14ac:dyDescent="0.25">
      <c r="A132" t="s">
        <v>238</v>
      </c>
      <c r="B132" t="s">
        <v>250</v>
      </c>
      <c r="C132" s="34">
        <v>143</v>
      </c>
      <c r="D132" s="34">
        <f t="shared" si="6"/>
        <v>177</v>
      </c>
      <c r="E132" s="34"/>
      <c r="F132" s="34"/>
      <c r="G132" s="34"/>
    </row>
    <row r="133" spans="1:7" x14ac:dyDescent="0.25">
      <c r="A133" t="s">
        <v>239</v>
      </c>
      <c r="B133" t="s">
        <v>251</v>
      </c>
      <c r="C133" s="34">
        <v>146</v>
      </c>
      <c r="D133" s="34">
        <f t="shared" si="6"/>
        <v>180</v>
      </c>
      <c r="E133" s="34"/>
      <c r="F133" s="34"/>
      <c r="G133" s="34"/>
    </row>
    <row r="134" spans="1:7" x14ac:dyDescent="0.25">
      <c r="A134" t="s">
        <v>240</v>
      </c>
      <c r="B134" t="s">
        <v>252</v>
      </c>
      <c r="C134" s="34">
        <v>146</v>
      </c>
      <c r="D134" s="34">
        <f t="shared" si="6"/>
        <v>180</v>
      </c>
    </row>
    <row r="135" spans="1:7" x14ac:dyDescent="0.25">
      <c r="A135" t="s">
        <v>241</v>
      </c>
      <c r="B135" t="s">
        <v>253</v>
      </c>
      <c r="C135" s="34">
        <v>146</v>
      </c>
      <c r="D135" s="34">
        <f t="shared" si="6"/>
        <v>180</v>
      </c>
    </row>
    <row r="136" spans="1:7" x14ac:dyDescent="0.25">
      <c r="A136" t="s">
        <v>297</v>
      </c>
      <c r="B136" t="s">
        <v>106</v>
      </c>
      <c r="C136" s="34">
        <v>33</v>
      </c>
      <c r="D136" s="34">
        <f>C136+offset_fio</f>
        <v>33</v>
      </c>
    </row>
    <row r="137" spans="1:7" x14ac:dyDescent="0.25">
      <c r="A137" t="s">
        <v>298</v>
      </c>
      <c r="B137" t="s">
        <v>301</v>
      </c>
      <c r="C137" s="34">
        <v>81</v>
      </c>
      <c r="D137" s="34">
        <f>C137+offset_fio+offset_fdocument</f>
        <v>81</v>
      </c>
    </row>
    <row r="138" spans="1:7" x14ac:dyDescent="0.25">
      <c r="A138" t="s">
        <v>299</v>
      </c>
      <c r="B138" t="s">
        <v>301</v>
      </c>
      <c r="C138" s="34">
        <v>107</v>
      </c>
      <c r="D138" s="34">
        <f>C138+offset_fio+offset_fdocument+offset_FBenef1</f>
        <v>107</v>
      </c>
    </row>
    <row r="139" spans="1:7" x14ac:dyDescent="0.25">
      <c r="A139" t="s">
        <v>300</v>
      </c>
      <c r="B139" t="s">
        <v>301</v>
      </c>
      <c r="C139" s="34">
        <v>133</v>
      </c>
      <c r="D139" s="34">
        <f>C139+offset_fio+offset_fdocument+offset_FBenef1+offset_FBenef2</f>
        <v>167</v>
      </c>
    </row>
    <row r="140" spans="1:7" x14ac:dyDescent="0.25">
      <c r="A140" t="s">
        <v>336</v>
      </c>
      <c r="B140" t="s">
        <v>104</v>
      </c>
      <c r="C140" s="34">
        <v>147</v>
      </c>
      <c r="D140" s="34">
        <f>C140+offset_fio+offset_fdocument+offset_FBenef1+offset_FBenef2+offset_FBenef3</f>
        <v>181</v>
      </c>
    </row>
    <row r="141" spans="1:7" x14ac:dyDescent="0.25">
      <c r="A141" t="s">
        <v>337</v>
      </c>
      <c r="B141" t="s">
        <v>104</v>
      </c>
      <c r="C141" s="34">
        <v>172</v>
      </c>
      <c r="D141" s="34">
        <f>C141+offset_fio+offset_fdocument+offset_FBenef1+offset_FBenef2+offset_FBenef3+offset_FBenef4</f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20"/>
  <sheetViews>
    <sheetView workbookViewId="0">
      <selection activeCell="E4" sqref="E4"/>
    </sheetView>
  </sheetViews>
  <sheetFormatPr defaultRowHeight="15" x14ac:dyDescent="0.25"/>
  <cols>
    <col min="1" max="1" width="24.140625" bestFit="1" customWidth="1"/>
    <col min="3" max="3" width="16.28515625" customWidth="1"/>
  </cols>
  <sheetData>
    <row r="1" spans="1:5" x14ac:dyDescent="0.25">
      <c r="A1" s="3" t="s">
        <v>9</v>
      </c>
      <c r="B1" s="3" t="s">
        <v>32</v>
      </c>
      <c r="C1" s="3" t="s">
        <v>33</v>
      </c>
      <c r="D1" s="3" t="s">
        <v>34</v>
      </c>
      <c r="E1" s="3" t="s">
        <v>341</v>
      </c>
    </row>
    <row r="2" spans="1:5" x14ac:dyDescent="0.25">
      <c r="A2" s="1" t="s">
        <v>10</v>
      </c>
      <c r="B2" s="1" t="s">
        <v>11</v>
      </c>
      <c r="C2" t="s">
        <v>46</v>
      </c>
      <c r="D2" s="18" t="s">
        <v>11</v>
      </c>
      <c r="E2" s="18" t="s">
        <v>342</v>
      </c>
    </row>
    <row r="3" spans="1:5" x14ac:dyDescent="0.25">
      <c r="A3" s="1" t="s">
        <v>7</v>
      </c>
      <c r="B3" s="1" t="s">
        <v>12</v>
      </c>
      <c r="C3" s="1" t="s">
        <v>11</v>
      </c>
      <c r="D3" s="18" t="s">
        <v>12</v>
      </c>
      <c r="E3" s="18" t="s">
        <v>343</v>
      </c>
    </row>
    <row r="4" spans="1:5" x14ac:dyDescent="0.25">
      <c r="A4" s="2" t="s">
        <v>8</v>
      </c>
      <c r="B4" s="2"/>
      <c r="C4" s="2" t="s">
        <v>12</v>
      </c>
      <c r="D4" s="2"/>
      <c r="E4" s="2"/>
    </row>
    <row r="20" spans="1:1" x14ac:dyDescent="0.25">
      <c r="A20" s="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44</vt:i4>
      </vt:variant>
    </vt:vector>
  </HeadingPairs>
  <TitlesOfParts>
    <vt:vector size="49" baseType="lpstr">
      <vt:lpstr>Анкета</vt:lpstr>
      <vt:lpstr>source_main</vt:lpstr>
      <vt:lpstr>source_proxy</vt:lpstr>
      <vt:lpstr>ServiceSheet</vt:lpstr>
      <vt:lpstr>DB</vt:lpstr>
      <vt:lpstr>source_proxy!Benef1_1_Range</vt:lpstr>
      <vt:lpstr>source_proxy!Benef1_2_Range</vt:lpstr>
      <vt:lpstr>source_proxy!Benef1_3_Range</vt:lpstr>
      <vt:lpstr>source_proxy!Benef1_4_Range</vt:lpstr>
      <vt:lpstr>source_proxy!Benef1_Range</vt:lpstr>
      <vt:lpstr>source_proxy!Benef2_Range</vt:lpstr>
      <vt:lpstr>source_proxy!Benef3_Range</vt:lpstr>
      <vt:lpstr>source_proxy!Benef4_Range</vt:lpstr>
      <vt:lpstr>source_main!CI_Range</vt:lpstr>
      <vt:lpstr>ServiceSheet!ctznsh_b1_col</vt:lpstr>
      <vt:lpstr>ServiceSheet!ctznsh_b1_row</vt:lpstr>
      <vt:lpstr>ServiceSheet!ctznsh_b2_col</vt:lpstr>
      <vt:lpstr>ServiceSheet!ctznsh_b2_row</vt:lpstr>
      <vt:lpstr>ServiceSheet!ctznsh_b3_col</vt:lpstr>
      <vt:lpstr>ServiceSheet!ctznsh_b3_row</vt:lpstr>
      <vt:lpstr>ServiceSheet!ctznsh_b4_col</vt:lpstr>
      <vt:lpstr>ServiceSheet!ctznsh_b4_row</vt:lpstr>
      <vt:lpstr>ServiceSheet!ctznsh_b5_col</vt:lpstr>
      <vt:lpstr>ServiceSheet!ctznsh_b5_row</vt:lpstr>
      <vt:lpstr>source_main!Document_Range</vt:lpstr>
      <vt:lpstr>source_proxy!FBenef1_1_Range</vt:lpstr>
      <vt:lpstr>source_proxy!FBenef1_2_Range</vt:lpstr>
      <vt:lpstr>source_proxy!FBenef1_3_Range</vt:lpstr>
      <vt:lpstr>source_proxy!FBenef1_4_Range</vt:lpstr>
      <vt:lpstr>source_proxy!FBenef1_Range</vt:lpstr>
      <vt:lpstr>source_proxy!FBenef2_Range</vt:lpstr>
      <vt:lpstr>source_proxy!FBenef3_Range</vt:lpstr>
      <vt:lpstr>source_proxy!FBenef4_Range</vt:lpstr>
      <vt:lpstr>source_main!FDocument_Range</vt:lpstr>
      <vt:lpstr>ServiceSheet!is_bv_col</vt:lpstr>
      <vt:lpstr>ServiceSheet!is_bv_row</vt:lpstr>
      <vt:lpstr>ServiceSheet!offset_FBenef1</vt:lpstr>
      <vt:lpstr>ServiceSheet!offset_FBenef2</vt:lpstr>
      <vt:lpstr>ServiceSheet!offset_FBenef3</vt:lpstr>
      <vt:lpstr>ServiceSheet!offset_FBenef4</vt:lpstr>
      <vt:lpstr>ServiceSheet!offset_FBenef5</vt:lpstr>
      <vt:lpstr>ServiceSheet!offset_FBenef6</vt:lpstr>
      <vt:lpstr>ServiceSheet!offset_fdocument</vt:lpstr>
      <vt:lpstr>ServiceSheet!offset_fio</vt:lpstr>
      <vt:lpstr>source_main!PastFIO</vt:lpstr>
      <vt:lpstr>ServiceSheet!q_bv_col</vt:lpstr>
      <vt:lpstr>ServiceSheet!q_bv_row</vt:lpstr>
      <vt:lpstr>ServiceSheet!start_string</vt:lpstr>
      <vt:lpstr>Анкета!Область_печати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Васильев Александр Владимирович</dc:creator>
  <cp:lastModifiedBy>Николаева Кристина Юрьевна</cp:lastModifiedBy>
  <cp:lastPrinted>2020-04-23T09:35:48Z</cp:lastPrinted>
  <dcterms:created xsi:type="dcterms:W3CDTF">2017-08-14T09:28:21Z</dcterms:created>
  <dcterms:modified xsi:type="dcterms:W3CDTF">2020-08-13T07:43:28Z</dcterms:modified>
</cp:coreProperties>
</file>