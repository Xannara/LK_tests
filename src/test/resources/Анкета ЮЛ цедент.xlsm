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vsergienko\Desktop\АНКЕТЫ\"/>
    </mc:Choice>
  </mc:AlternateContent>
  <workbookProtection workbookAlgorithmName="SHA-512" workbookHashValue="1XJ0kB6etOB0RZPsDICRVAL4kKYCFrmoCrYSvzDr9BiJrPxgIMiwBKJfx+SOTFcv9oIgHGQRYPJy33bferWbgw==" workbookSaltValue="68sS7VjVaohviAr2/jiY6g==" workbookSpinCount="100000" lockStructure="1" lockWindows="1"/>
  <bookViews>
    <workbookView xWindow="0" yWindow="0" windowWidth="24750" windowHeight="12300" tabRatio="924"/>
  </bookViews>
  <sheets>
    <sheet name="Анкета" sheetId="16" r:id="rId1"/>
    <sheet name="Vstavka" sheetId="49" state="hidden" r:id="rId2"/>
    <sheet name="Support" sheetId="30" state="hidden" r:id="rId3"/>
    <sheet name="БД" sheetId="25" state="hidden" r:id="rId4"/>
    <sheet name="inf" sheetId="50" state="hidden" r:id="rId5"/>
  </sheets>
  <definedNames>
    <definedName name="АВАНС">БД!$P$2:$P$11</definedName>
    <definedName name="Вид_имущества">БД!#REF!</definedName>
    <definedName name="Имущество">БД!$J$2:$J$6</definedName>
    <definedName name="Менеджеры">БД!$D$6:$D$7</definedName>
    <definedName name="МРК">БД!$D$2:$D$4</definedName>
    <definedName name="НАЛОГИ">БД!#REF!</definedName>
    <definedName name="Налогообложение">БД!$F$2:$F$6</definedName>
    <definedName name="_xlnm.Print_Area" localSheetId="0">Анкета!$A$1:$P$88</definedName>
    <definedName name="ОПФ">БД!#REF!</definedName>
    <definedName name="ОПФ_ЮЛ">БД!$R$2:$R$18</definedName>
    <definedName name="ОТВЕТЫ">БД!$L$2:$L$4</definedName>
    <definedName name="ПОДПИСАНТ">БД!$N$2:$N$4</definedName>
    <definedName name="ПРОДУКТЫ">БД!$H$2:$H$6</definedName>
    <definedName name="ПРОДУКТЫ1">БД!$H$2:$H$6</definedName>
    <definedName name="СуммаФинансирования">БД!$T$2:$T$5</definedName>
    <definedName name="Ячейки_для_защиты">Анкета!$O$12,Анкета!$N$4,Анкета!#REF!,Анкета!$O$6,Анкета!$O$7,Анкета!$O$14,Анкета!#REF!,Анкета!#REF!,Анкета!#REF!,Анкета!#REF!,Анкета!$D$14,Анкета!#REF!,Анкета!#REF!,Анкета!#REF!,Анкета!$D$12,Анкета!#REF!,Анкета!#REF!,Анкета!#REF!,Анкета!#REF!,Анкета!#REF!,Анкета!$D$18,Анкета!#REF!,Анкета!#REF!,Анкета!#REF!,Анкета!#REF!,Анкета!$L$18,Анкета!#REF!,Анкета!#REF!,Анкета!$O$18,Анкета!#REF!,Анкета!#REF!,Анкета!#REF!,Анкета!#REF!,Анкета!#REF!,Анкета!#REF!,Анкета!#REF!,Анкета!#REF!,Анкета!#REF!,Анкета!#REF!</definedName>
  </definedNames>
  <calcPr calcId="162913"/>
</workbook>
</file>

<file path=xl/calcChain.xml><?xml version="1.0" encoding="utf-8"?>
<calcChain xmlns="http://schemas.openxmlformats.org/spreadsheetml/2006/main">
  <c r="G38" i="30" l="1"/>
  <c r="F38" i="30"/>
  <c r="D38" i="30"/>
  <c r="C38" i="30"/>
  <c r="B38" i="30"/>
  <c r="A38" i="30"/>
  <c r="G36" i="30"/>
  <c r="F36" i="30"/>
  <c r="D36" i="30"/>
  <c r="C36" i="30"/>
  <c r="B36" i="30"/>
  <c r="A36" i="30"/>
  <c r="G34" i="30"/>
  <c r="F34" i="30"/>
  <c r="E34" i="30"/>
  <c r="D34" i="30"/>
  <c r="C34" i="30"/>
  <c r="B34" i="30"/>
  <c r="A34" i="30"/>
  <c r="N40" i="16"/>
  <c r="E38" i="30" s="1"/>
  <c r="J40" i="16"/>
  <c r="E36" i="30" l="1"/>
  <c r="J26" i="49"/>
  <c r="L17" i="16" l="1"/>
  <c r="D17" i="16"/>
  <c r="N24" i="49" l="1"/>
  <c r="N22" i="49"/>
  <c r="M22" i="49"/>
  <c r="M24" i="49"/>
  <c r="M20" i="49"/>
  <c r="N20" i="49"/>
  <c r="H38" i="30" l="1"/>
  <c r="D38" i="16" s="1"/>
  <c r="H36" i="30"/>
  <c r="D36" i="16" s="1"/>
  <c r="H34" i="30"/>
  <c r="D34" i="16" s="1"/>
  <c r="DT44" i="50" l="1"/>
  <c r="DT45" i="50"/>
  <c r="DT46" i="50"/>
  <c r="DT47" i="50"/>
  <c r="DT48" i="50"/>
  <c r="DT49" i="50"/>
  <c r="DT50" i="50"/>
  <c r="DT51" i="50"/>
  <c r="DT52" i="50"/>
  <c r="DT53" i="50"/>
  <c r="DT54" i="50"/>
  <c r="DT55" i="50"/>
  <c r="BQ45" i="50"/>
  <c r="BQ46" i="50"/>
  <c r="BQ47" i="50"/>
  <c r="BQ48" i="50"/>
  <c r="BQ49" i="50"/>
  <c r="BQ50" i="50"/>
  <c r="BQ51" i="50"/>
  <c r="BQ52" i="50"/>
  <c r="BQ53" i="50"/>
  <c r="BQ54" i="50"/>
  <c r="BQ55" i="50"/>
  <c r="BQ44" i="50"/>
  <c r="C48" i="50" l="1"/>
  <c r="B48" i="50"/>
  <c r="C47" i="50"/>
  <c r="B47" i="50"/>
  <c r="C46" i="50"/>
  <c r="D46" i="50" s="1"/>
  <c r="B46" i="50"/>
  <c r="C45" i="50"/>
  <c r="B45" i="50"/>
  <c r="C44" i="50"/>
  <c r="B44" i="50"/>
  <c r="C43" i="50"/>
  <c r="D43" i="50" s="1"/>
  <c r="B43" i="50"/>
  <c r="D44" i="50" l="1"/>
  <c r="C57" i="50" s="1"/>
  <c r="D45" i="50"/>
  <c r="B51" i="50" s="1"/>
  <c r="C58" i="50" l="1"/>
  <c r="B54" i="50" s="1"/>
  <c r="E5" i="16"/>
  <c r="AB38" i="30" l="1"/>
  <c r="AC38" i="30" s="1"/>
  <c r="X38" i="30"/>
  <c r="Y38" i="30" s="1"/>
  <c r="L38" i="30"/>
  <c r="I38" i="30"/>
  <c r="L36" i="30"/>
  <c r="I36" i="30"/>
  <c r="L34" i="30"/>
  <c r="I34" i="30"/>
  <c r="M34" i="30" l="1"/>
  <c r="M34" i="16" s="1"/>
  <c r="M38" i="30"/>
  <c r="M38" i="16" s="1"/>
  <c r="M36" i="30"/>
  <c r="M36" i="16" s="1"/>
  <c r="AI32" i="30"/>
  <c r="I32" i="30"/>
  <c r="N36" i="30" l="1"/>
  <c r="N34" i="30"/>
  <c r="N38" i="30"/>
  <c r="Q36" i="30"/>
  <c r="P36" i="30"/>
  <c r="Q38" i="30"/>
  <c r="Q34" i="30"/>
  <c r="P34" i="30"/>
  <c r="P38" i="30"/>
  <c r="O34" i="30" l="1"/>
  <c r="O38" i="30"/>
  <c r="O36" i="30"/>
  <c r="S36" i="30"/>
  <c r="S34" i="30"/>
  <c r="S38" i="30"/>
  <c r="R36" i="30"/>
  <c r="R34" i="30"/>
  <c r="R38" i="30"/>
  <c r="T38" i="30" l="1"/>
  <c r="N38" i="16" s="1"/>
  <c r="T36" i="30"/>
  <c r="N36" i="16" s="1"/>
  <c r="T34" i="30"/>
  <c r="N34" i="16" s="1"/>
  <c r="U38" i="30" l="1"/>
  <c r="Z38" i="30" s="1"/>
  <c r="AA38" i="30" s="1"/>
  <c r="U36" i="30"/>
  <c r="U34" i="30"/>
  <c r="Z36" i="30" l="1"/>
  <c r="AA36" i="30" s="1"/>
  <c r="AB36" i="30"/>
  <c r="AC36" i="30" s="1"/>
  <c r="X36" i="30"/>
  <c r="Y36" i="30" s="1"/>
  <c r="X34" i="30"/>
  <c r="Y34" i="30" s="1"/>
  <c r="AB34" i="30"/>
  <c r="AC34" i="30" s="1"/>
  <c r="V38" i="30"/>
  <c r="W38" i="30" s="1"/>
  <c r="Z34" i="30"/>
  <c r="AA34" i="30" s="1"/>
  <c r="AA30" i="30" s="1"/>
  <c r="D44" i="16" s="1"/>
  <c r="AC30" i="30" l="1"/>
  <c r="J44" i="16" s="1"/>
  <c r="N44" i="16" s="1"/>
  <c r="Y30" i="30"/>
  <c r="J42" i="16" s="1"/>
  <c r="N42" i="16" s="1"/>
  <c r="V36" i="30"/>
  <c r="W36" i="30" s="1"/>
  <c r="V34" i="30"/>
  <c r="W34" i="30" s="1"/>
  <c r="W30" i="30" s="1"/>
  <c r="D28" i="49" l="1"/>
  <c r="D42" i="16"/>
  <c r="D40" i="16" s="1"/>
  <c r="J28" i="49"/>
  <c r="N28" i="49" s="1"/>
  <c r="J30" i="49"/>
  <c r="N30" i="49" s="1"/>
  <c r="D30" i="49"/>
  <c r="D26" i="49" l="1"/>
</calcChain>
</file>

<file path=xl/sharedStrings.xml><?xml version="1.0" encoding="utf-8"?>
<sst xmlns="http://schemas.openxmlformats.org/spreadsheetml/2006/main" count="555" uniqueCount="235">
  <si>
    <t>Продукт</t>
  </si>
  <si>
    <t>ООО</t>
  </si>
  <si>
    <t>Руководитель организации:</t>
  </si>
  <si>
    <t xml:space="preserve"> /</t>
  </si>
  <si>
    <t>подпись</t>
  </si>
  <si>
    <t>расшифровка подписи</t>
  </si>
  <si>
    <t>ИП</t>
  </si>
  <si>
    <t>Организационно правовая форма:</t>
  </si>
  <si>
    <t>Система налогообложения:</t>
  </si>
  <si>
    <t>АО</t>
  </si>
  <si>
    <t>ГУП</t>
  </si>
  <si>
    <t>МУП</t>
  </si>
  <si>
    <t>Государственная компания/корпорация</t>
  </si>
  <si>
    <t>Государственное учреждение</t>
  </si>
  <si>
    <t>Производственный кооператив</t>
  </si>
  <si>
    <t>Основные поставщики:</t>
  </si>
  <si>
    <t>Основные покупатели:</t>
  </si>
  <si>
    <t>Дата заполнения:</t>
  </si>
  <si>
    <t xml:space="preserve">Параметры договора лизинга: </t>
  </si>
  <si>
    <t xml:space="preserve">Параметры имущества: </t>
  </si>
  <si>
    <t>ОПФ</t>
  </si>
  <si>
    <t>Вид:</t>
  </si>
  <si>
    <t>Нет</t>
  </si>
  <si>
    <t>Дата заключения</t>
  </si>
  <si>
    <t>Количество платежей до конца договора</t>
  </si>
  <si>
    <t>Кредит</t>
  </si>
  <si>
    <t>Лизинг</t>
  </si>
  <si>
    <t>ПРОДУКТЫ</t>
  </si>
  <si>
    <t>ОСН</t>
  </si>
  <si>
    <t>УСН</t>
  </si>
  <si>
    <t>ЕНВД</t>
  </si>
  <si>
    <t>МЕНЕДЖЕРЫ</t>
  </si>
  <si>
    <t>Муниципалльное учреждение</t>
  </si>
  <si>
    <t>Дата окончания
(последний платеж)</t>
  </si>
  <si>
    <t>Остаток (мес)</t>
  </si>
  <si>
    <t>Остаток (лет)</t>
  </si>
  <si>
    <t>Остаток платежей</t>
  </si>
  <si>
    <t>Платежей за срок ДЛ</t>
  </si>
  <si>
    <t>Короткосрочная задолженность</t>
  </si>
  <si>
    <t>Долгосрочная задолженность</t>
  </si>
  <si>
    <t>Кредиты и прочее</t>
  </si>
  <si>
    <t>Лизинговые платежи</t>
  </si>
  <si>
    <t>Планируемый срок лизинга:</t>
  </si>
  <si>
    <t xml:space="preserve"> - Данные из заявки</t>
  </si>
  <si>
    <t>Среднемесячный платеж, 
руб.</t>
  </si>
  <si>
    <t>Сумма договора, руб.</t>
  </si>
  <si>
    <t>Удорожание</t>
  </si>
  <si>
    <t>Основной долг, руб. (сумма займа/кредита без учета аванса)</t>
  </si>
  <si>
    <t>Аванс по договору 
Лизинга (%):</t>
  </si>
  <si>
    <t>Срок лизинга 
(месяцев):</t>
  </si>
  <si>
    <t>Обращаем Ваше внимание, что полнота и корректность данных при заполнении запрошенной в анкете информации напрямую влияет на максимально возможную сумму финансирования по Вашей заявке.</t>
  </si>
  <si>
    <t>Менеджер 
проекта:</t>
  </si>
  <si>
    <t>ИМУЩЕСТВО:</t>
  </si>
  <si>
    <t>Спецтехника (с ПСМ)</t>
  </si>
  <si>
    <t>АВАНС:</t>
  </si>
  <si>
    <t>Обеспечение 
(если таковое предусмотрено)</t>
  </si>
  <si>
    <t>ИТОГ</t>
  </si>
  <si>
    <t>(или с листом изменений, если таковые имели место)</t>
  </si>
  <si>
    <t>Да</t>
  </si>
  <si>
    <t>ОТВЕТЫ:</t>
  </si>
  <si>
    <t>ПОДПИСАНТ:</t>
  </si>
  <si>
    <t>На основании Устава</t>
  </si>
  <si>
    <t>На основании Доверенности</t>
  </si>
  <si>
    <t>1.</t>
  </si>
  <si>
    <t>2.</t>
  </si>
  <si>
    <t>3.</t>
  </si>
  <si>
    <t>4.</t>
  </si>
  <si>
    <t>или Свидетельство о праве собственности (если офисное помещение в собственности)</t>
  </si>
  <si>
    <t>Федосенко Михаил</t>
  </si>
  <si>
    <t>Островская Наталья</t>
  </si>
  <si>
    <t>Система налогообложения</t>
  </si>
  <si>
    <t>Патент</t>
  </si>
  <si>
    <t>1. Устав (все страницы) в новой (действующей) редакции</t>
  </si>
  <si>
    <t>2. Договор аренды на офисное помещение / занимаемые площади</t>
  </si>
  <si>
    <t>Количество разных объектов лизинга</t>
  </si>
  <si>
    <t>!! Используется для макроса !!</t>
  </si>
  <si>
    <t>F</t>
  </si>
  <si>
    <t>C</t>
  </si>
  <si>
    <t>L</t>
  </si>
  <si>
    <t>Количество разных кредитных продуктов</t>
  </si>
  <si>
    <t>Итоговые значения:</t>
  </si>
  <si>
    <t>Налоговая декларация по налогу на прибыль организаций  за 1 последний квартал</t>
  </si>
  <si>
    <t>Выбрать</t>
  </si>
  <si>
    <t>G</t>
  </si>
  <si>
    <t>D</t>
  </si>
  <si>
    <t>Займ</t>
  </si>
  <si>
    <t>Легковой автомобиль (с ПТС)</t>
  </si>
  <si>
    <t>Грузовой автомобиль (с ПТС)</t>
  </si>
  <si>
    <t>M</t>
  </si>
  <si>
    <t>N</t>
  </si>
  <si>
    <t xml:space="preserve">Налоговая декларация по налогу, уплачиваемому в связи с применением упрощенной системы налогообложения за последний 1 налоговый период (если с момента регистрации бизнеса прошло только 12 месяцев и срок сдачи данной декларации в ФСН за истекший календарный год пока не наступил (до 30 апреля - для ИП) - ее предоставление необязательно) </t>
  </si>
  <si>
    <t>Копии документов на принадлежащее клиенту имущество - ПТС, ПСМ, свидетельства о регистрации прав на недвижимость, депозитные договоры и прочее (при наличии)</t>
  </si>
  <si>
    <t>Копии патентов на право применения патентной системы налогообложения за один последний календарный год, либо не менее чем за срок ведения бизнеса</t>
  </si>
  <si>
    <t>Декларации по налогу на доходы физических лиц (форма 3-НДФЛ) за последний 1 налоговый период  (если же клиент функционирует только первые 12 месяцев и пока не сдавал данную декларацию - ее предоставление необязательно)</t>
  </si>
  <si>
    <t>Бухгалтерский баланс (Форма 1) и Отчет о финансовых результатах (Форма 2) - за последний квартал и последний год</t>
  </si>
  <si>
    <t>* Декларация по налогу на прибыль, а также годовые бухгалтерский баланс и отчет о финансовых результатах должны иметь либо штамп входящего контроля ФНС, либо копию описи вложения при отправке почтой, либо протокол приема файла ФНС при отправке через интернет</t>
  </si>
  <si>
    <t xml:space="preserve">Налоговая декларация по налогу, уплачиваемому в связи с применением упрощенной системы налогообложения за последний 1 налоговый период </t>
  </si>
  <si>
    <t>В формулах используется только N42, выделенное серым не используется</t>
  </si>
  <si>
    <t>Бухгалтерский баланс (Форма 1) и Отчет о финансовых результатах (Форма 2) за последний год</t>
  </si>
  <si>
    <t>Анализ счета 51 не менее чем  за 12 последних месяцев с разбивкой по месяцам, обслуживающим банкам и корреспондирующим счетам</t>
  </si>
  <si>
    <t>Налоговая декларация по ЕНВД за последний отчетный квартал</t>
  </si>
  <si>
    <t>* Декларация по ЕНВД, а также годовые бухгалтерский баланс и отчет о финансовых результатах должны иметь либо штамп входящего контроля ФНС, либо копию описи вложения при отправке почтой, либо протокол приема файла ФНС при отправке через интернет</t>
  </si>
  <si>
    <t>* Декларация по УСН, а также годовые бухгалтерский баланс и отчет о финансовых результатах должны иметь либо штамп входящего контроля ФНС, либо копию описи вложения при отправке почтой, либо протокол приема файла ФНС при отправке через интернет</t>
  </si>
  <si>
    <t>J</t>
  </si>
  <si>
    <t>Сумма финансирования:</t>
  </si>
  <si>
    <t>до 7 млн. руб.</t>
  </si>
  <si>
    <t>Свыше 7 млн. руб.</t>
  </si>
  <si>
    <t>Копии действующих договоров с ключевыми заказчиками/покупателями (не менее 3 договоров) или же письменное обоснование в свободной форме в случае невозможности их предоставления</t>
  </si>
  <si>
    <t>1. Договор аренды на офисное помещение / занимаемые площади</t>
  </si>
  <si>
    <t>свыше 7 млн. руб.</t>
  </si>
  <si>
    <t xml:space="preserve">2. Паспорт генерального директора или иного единоличного исполнительного органа и </t>
  </si>
  <si>
    <t>3. Карточка контрагента</t>
  </si>
  <si>
    <t>до 5 млн. руб.</t>
  </si>
  <si>
    <t>от 5 до 7 млн. руб.</t>
  </si>
  <si>
    <t>Без финансового анализа</t>
  </si>
  <si>
    <t>Шаблон области вставки</t>
  </si>
  <si>
    <t>Не ИП, свыше 7 млн. руб.</t>
  </si>
  <si>
    <t>Не ИП, до 7 млн. руб.</t>
  </si>
  <si>
    <t>ИП, свыше 7 млн. руб.</t>
  </si>
  <si>
    <t>ИП, до 7 млн. руб.</t>
  </si>
  <si>
    <t>Учредительные документы</t>
  </si>
  <si>
    <t>не ИП</t>
  </si>
  <si>
    <t>AG42:AL52</t>
  </si>
  <si>
    <t>запрещено</t>
  </si>
  <si>
    <t>Финансовые документы для ИП</t>
  </si>
  <si>
    <t>Не ИП, ОСН, грузовой автомобиль/спецтехника</t>
  </si>
  <si>
    <t>Не ИП, ОСН, более 5 млн., легковой автомобиль</t>
  </si>
  <si>
    <t>Финансовые документы для не ИП</t>
  </si>
  <si>
    <t>Не ИП, ОСН, менее 5 млн., легковой автомобиль</t>
  </si>
  <si>
    <t>Не ИП, УСН, более 5 млн., легковой автомобиль</t>
  </si>
  <si>
    <t>Не ИП, УСН, менее 5 млн., легковой автомобиль</t>
  </si>
  <si>
    <t>Не ИП, УСН, грузовой автомобиль/спецтехника</t>
  </si>
  <si>
    <t>Не ИП, ЕНВД, более 5 млн., легковой автомобиль</t>
  </si>
  <si>
    <t>Не ИП, ЕНВД, менее 5 млн., легковой автомобиль</t>
  </si>
  <si>
    <t>Не ИП, ЕНВД, грузовой автомобиль/спецтехника</t>
  </si>
  <si>
    <t>Не ИП, ОСН,без фин. Анализа</t>
  </si>
  <si>
    <t>Не ИП, УСН,без фин. Анализа</t>
  </si>
  <si>
    <t>Не ИП, ЕНВД,без фин. Анализа</t>
  </si>
  <si>
    <t>Не ИП, Патент, более 5 млн., легковой автомобиль</t>
  </si>
  <si>
    <t>Не ИП, Патент, менее 5 млн., легковой автомобиль</t>
  </si>
  <si>
    <t>Не ИП, Патент, грузовой автомобиль/спецтехника</t>
  </si>
  <si>
    <t>Не ИП, Патент,без фин. Анализа</t>
  </si>
  <si>
    <t>ET42:EV42</t>
  </si>
  <si>
    <t>ET72:EV72</t>
  </si>
  <si>
    <t>ET102:EV102</t>
  </si>
  <si>
    <t>ET132:EV132</t>
  </si>
  <si>
    <t>ED42:EJ55</t>
  </si>
  <si>
    <t>ED72:EJ87</t>
  </si>
  <si>
    <t>ED102:EJ113</t>
  </si>
  <si>
    <t>CY42:DA42</t>
  </si>
  <si>
    <t>CY43:DA43</t>
  </si>
  <si>
    <t>CA42:CG60</t>
  </si>
  <si>
    <t>CA72:CG90</t>
  </si>
  <si>
    <t>CA102:CG119</t>
  </si>
  <si>
    <t>CA132:CG149</t>
  </si>
  <si>
    <t>CQ42:CW59</t>
  </si>
  <si>
    <t>CQ72:CW89</t>
  </si>
  <si>
    <t>ED132:EJ144</t>
  </si>
  <si>
    <t>EL42:ER59</t>
  </si>
  <si>
    <t>EL102:ER123</t>
  </si>
  <si>
    <t>EL132:ER153</t>
  </si>
  <si>
    <t>ИП, ОСН, более 5 млн., легковой автомобиль</t>
  </si>
  <si>
    <t>ИП, ОСН, грузовой автомобиль/спецтехника</t>
  </si>
  <si>
    <t>ИП, УСН, более 5 млн., легковой автомобиль</t>
  </si>
  <si>
    <t>ИП, УСН, грузовой автомобиль/спецтехника</t>
  </si>
  <si>
    <t>ИП, ОСН,без фин. Анализа</t>
  </si>
  <si>
    <t>ИП, УСН,без фин. Анализа</t>
  </si>
  <si>
    <t>ИП, ЕНВД, более 5 млн., легковой автомобиль</t>
  </si>
  <si>
    <t>ИП, ЕНВД, грузовой автомобиль/спецтехника</t>
  </si>
  <si>
    <t>ИП, ЕНВД,без фин. Анализа</t>
  </si>
  <si>
    <t>ИП, Патент, более 5 млн., легковой автомобиль</t>
  </si>
  <si>
    <t>ИП, Патент, грузовой автомобиль/спецтехника</t>
  </si>
  <si>
    <t>ИП, Патент,без фин. Анализа</t>
  </si>
  <si>
    <t>Учредительные документы:</t>
  </si>
  <si>
    <t>Финансовые документы</t>
  </si>
  <si>
    <t>Для не ИП</t>
  </si>
  <si>
    <t>Для ИП</t>
  </si>
  <si>
    <t>Из модели</t>
  </si>
  <si>
    <t>Для вставки</t>
  </si>
  <si>
    <t>Вспомогательные области</t>
  </si>
  <si>
    <t>Используется в макросе</t>
  </si>
  <si>
    <t>AN42:AS52</t>
  </si>
  <si>
    <t>BB42:BG50</t>
  </si>
  <si>
    <t>AU42:AZ49</t>
  </si>
  <si>
    <t>1.1.</t>
  </si>
  <si>
    <t>год</t>
  </si>
  <si>
    <t>Бухгалтерский баланс (Форма 1) и Отчет о финансовых результатах (Форма 2) за последний</t>
  </si>
  <si>
    <t>или</t>
  </si>
  <si>
    <t>1.2</t>
  </si>
  <si>
    <t>1.1</t>
  </si>
  <si>
    <t>паспортные данные учредителей/ акционеров</t>
  </si>
  <si>
    <t>паспортные данные учредителей / акционеров</t>
  </si>
  <si>
    <t>CY72:DA72</t>
  </si>
  <si>
    <t>CY102:DA102</t>
  </si>
  <si>
    <t>CY132:DA132</t>
  </si>
  <si>
    <t>CI42:CO50</t>
  </si>
  <si>
    <t>CI72:CO80</t>
  </si>
  <si>
    <t>CI132:CO140</t>
  </si>
  <si>
    <t>CI102:CO110</t>
  </si>
  <si>
    <t>CQ102:CW119</t>
  </si>
  <si>
    <t>CQ132:CW149</t>
  </si>
  <si>
    <t>EL72:ER91</t>
  </si>
  <si>
    <t>1. Копия всех страниц с отметками документа, удостоверяющего личность лизингополучателя и поручителей</t>
  </si>
  <si>
    <t>м.п.</t>
  </si>
  <si>
    <t>Дата окончания
(дата последнего
платежа)</t>
  </si>
  <si>
    <t>Текущая (остаток)
задолженность, руб.</t>
  </si>
  <si>
    <t>Банк-кредитор/
Лизинговая компания/
Факторинговая компания / Гарантии</t>
  </si>
  <si>
    <t>Ставка
(средняя)</t>
  </si>
  <si>
    <t>Итого, кредитная нагрузка в период Лизинга, руб.:</t>
  </si>
  <si>
    <t>Краткосрочная задолженность, руб.:</t>
  </si>
  <si>
    <t>Долгосрочная задолженность, руб.:</t>
  </si>
  <si>
    <t>Среднемесячный платеж, руб.:</t>
  </si>
  <si>
    <t>Лизинг краткосрочный, руб. с НДС:</t>
  </si>
  <si>
    <t>Лизинг долгосрочный, руб. с НДС:</t>
  </si>
  <si>
    <t>Лизинг краткосрочный, руб. без НДС:</t>
  </si>
  <si>
    <t>Лизинг долгосрочный, руб. без НДС:</t>
  </si>
  <si>
    <t>Дата заключения договора</t>
  </si>
  <si>
    <t>Анкета клиента</t>
  </si>
  <si>
    <t>ИНН:</t>
  </si>
  <si>
    <t>ОГРН:</t>
  </si>
  <si>
    <t>ОАО</t>
  </si>
  <si>
    <t>ЗАО</t>
  </si>
  <si>
    <t>ПАО</t>
  </si>
  <si>
    <t>Адвокатская палата субъекта РФ</t>
  </si>
  <si>
    <t>Коллегия адвокатов</t>
  </si>
  <si>
    <t>Адвокатское бюро</t>
  </si>
  <si>
    <t>Юридическая консультация</t>
  </si>
  <si>
    <t xml:space="preserve">   Сканы документов предоставляются в формате pdf. Если документы предоставляются в копиях, то они должны содержать надпись «копия верна», дату заверения копии, наименование должности руководителя организации, удостоверяющего подлинность копии, его фамилию с инициалами и подпись, а также печать организации. Документы, содержащие более одного листа, должны быть прошиты и скреплены печатью организации и подписью руководителя  на сшиве, либо должна быть заверена каждая страница.
    Декларация по налогу на прибыль (или УСНО), а также годовые бухгалтерский баланс и отчет о финансовых результатах должны иметь либо штамп входящего контроля ФНС, либо копию описи вложения при отправке почтой, либо протокол приема файла ФНС при отправке через интернет; Налоговый период по УСН, налогу на прибыль и 3-НДФЛ: 1 календарный год, по ЕНВД (1 квартал).</t>
  </si>
  <si>
    <t>3. Протокол/решение о назначении генерального директора</t>
  </si>
  <si>
    <t xml:space="preserve">4. Паспорт генерального директора или иного единоличного исполнительного органа и </t>
  </si>
  <si>
    <t>5. Карточка контрагента</t>
  </si>
  <si>
    <t>Адрес регистрации:</t>
  </si>
  <si>
    <t>Краткое наименование юр. лица согласно 
уставу/ учредительным документам, ФИО:</t>
  </si>
  <si>
    <t>(разворот с фотографией и действующей регистрацией)</t>
  </si>
  <si>
    <t xml:space="preserve">    Заявитель подтверждает, что сведения, содержащиеся в настоящей анкете, являются верными и точными на  дату заполнения анкеты. Заявитель не возражает против проверки достоверности и полноты, предоставленных сведений. В случае изменения в течение срока рассмотрения заявления на предоставление имущества в лизинг или срока действия договора лизинга указанных в Анкете сведений, а также о любых обстоятельствах, способных повлиять на выполнение Заявителем обязательств по договору лизинга, Заявитель обязуется немедленно сообщить об этом в Обществу с ограниченной ответственностью «Альфамобиль» (ОГРН 1157746875373, место нахождения г.Москва, ул. Большая Переяславская, д. 46, стр. 2, эт. 4, пом. I к. 16,17) (далее – ООО «Альфамобиль») Обществу с ограниченной ответственностью «Альфа-Лизинг» (ОГРН 1027739540400, место нахождения  г. Москва, ул. Переяславская Б., дом 46, строение 2, ЭТ 4 ПОМ I КОМ 15) (далее – ООО «Альфа-Лизинг») Обществу с ограниченной ответственностью «ЛК АЛ» (ОГРН 1056603482220, место нахождения  г.Екатеринбург, ул.Горького, д.17) (далее – ООО «ЛК АЛ»). Настоящее согласие дается на неопределенный срок до момента отзыва согласия заявителем.
    Заявитель дает свое согласие на предоставление ООО «Альфамобиль», ООО «Альфа-Лизинг», ООО «ЛК АЛ» всей имеющейся информации о заявителе информации, информации об исполнении ( в т.ч. о нарушениях) договора лизинга, а так же иной информации в объеме, порядке и на условиях, определенных Федеральным законом № 218-ФЗ от 30.12.2014 г. «О кредитных историях» в бюро кредитных историй, включенных в государственный реестр бюро кредитных историй. Настоящие согласие действует в течение всего срока действия договора. Заявитель дает свое согласие ООО «Альфамобиль», ООО «Альфа-Лизинг», ООО «ЛК АЛ» на проверку достоверности предоставленной информации, на получение кредитного отчета, содержащую основную часть кредитной истории в любом бюро кредитных историй (код субъекта кредитной истории___________) с целью принятия решения о возможности заключения договора лизинга, договора поручительства или иного договора. Настоящее согласие на получение кредитного отчета действует в течение 6 месяцев.
    Заявитель дает свое согласие на предоставление ООО «Альфамобиль», ООО «Альфа-Лизинг», ООО «ЛК АЛ» в АО «Альфа-Банк» (ОГРН 1027700067328, Место нахождения: 107078, г. Москва, ул. Каланчевская, д. 27) информации о существенных условиях, заключенных с ООО «Альфамобиль», ООО «Альфа-Лизинг», ООО «ЛК АЛ» договорах, платежной дисциплине по указанным договорам, сроках и порядке платежей, размере задолженности.                                                                     
    Заявитель выражает согласие на получение информации, включая рекламную информацию, распространяемой ООО «Альфамобиль»,ООО «Альфа-Лизинг», ООО «ЛК АЛ», а также иными лицами, действующими на основании договора с ООО «Альфамобиль», ООО «Альфа-Лизинг», ООО «ЛК АЛ», посредством СМС, ММС уведомлений на мобильный телефон и e-mail, указанные в настоящей анкете.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</si>
</sst>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-* #,##0&quot;р.&quot;_-;\-* #,##0&quot;р.&quot;_-;_-* &quot;-&quot;&quot;р.&quot;_-;_-@_-"/>
    <numFmt numFmtId="165" formatCode="_-* #,##0.00_р_._-;\-* #,##0.00_р_._-;_-* &quot;-&quot;??_р_._-;_-@_-"/>
    <numFmt numFmtId="166" formatCode="0.0%"/>
    <numFmt numFmtId="167" formatCode="#,##0.00\ &quot;₽&quot;"/>
    <numFmt numFmtId="168" formatCode="#,##0.00\ ;\-#,##0.00\ "/>
  </numFmts>
  <fonts count="68" x14ac:knownFonts="1">
    <font>
      <sz val="10"/>
      <name val="Arial Cyr"/>
      <charset val="204"/>
    </font>
    <font>
      <sz val="10"/>
      <name val="Arial Cyr"/>
      <charset val="204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20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1"/>
      <color indexed="9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17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sz val="11"/>
      <color indexed="62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60"/>
      <name val="Calibri"/>
      <family val="2"/>
      <charset val="204"/>
    </font>
    <font>
      <sz val="8"/>
      <color indexed="8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8"/>
      <color indexed="56"/>
      <name val="Cambria"/>
      <family val="2"/>
      <charset val="204"/>
    </font>
    <font>
      <b/>
      <sz val="11"/>
      <color indexed="8"/>
      <name val="Calibri"/>
      <family val="2"/>
      <charset val="204"/>
    </font>
    <font>
      <sz val="11"/>
      <color indexed="10"/>
      <name val="Calibri"/>
      <family val="2"/>
      <charset val="204"/>
    </font>
    <font>
      <sz val="10"/>
      <name val="Helv"/>
      <charset val="204"/>
    </font>
    <font>
      <b/>
      <sz val="12"/>
      <name val="Arial"/>
      <family val="2"/>
      <charset val="204"/>
    </font>
    <font>
      <sz val="12"/>
      <name val="Arial"/>
      <family val="2"/>
      <charset val="204"/>
    </font>
    <font>
      <b/>
      <u/>
      <sz val="12"/>
      <name val="Arial"/>
      <family val="2"/>
      <charset val="204"/>
    </font>
    <font>
      <b/>
      <i/>
      <sz val="12"/>
      <name val="Arial"/>
      <family val="2"/>
      <charset val="204"/>
    </font>
    <font>
      <i/>
      <sz val="12"/>
      <name val="Arial"/>
      <family val="2"/>
      <charset val="204"/>
    </font>
    <font>
      <sz val="10"/>
      <name val="Arial"/>
      <family val="2"/>
      <charset val="204"/>
    </font>
    <font>
      <i/>
      <sz val="10"/>
      <name val="Arial"/>
      <family val="2"/>
      <charset val="204"/>
    </font>
    <font>
      <i/>
      <sz val="9"/>
      <name val="Arial"/>
      <family val="2"/>
      <charset val="204"/>
    </font>
    <font>
      <b/>
      <sz val="10"/>
      <name val="Arial Cyr"/>
      <charset val="204"/>
    </font>
    <font>
      <sz val="11"/>
      <name val="Arial"/>
      <family val="2"/>
      <charset val="204"/>
    </font>
    <font>
      <b/>
      <sz val="24"/>
      <name val="Arial Black"/>
      <family val="2"/>
      <charset val="204"/>
    </font>
    <font>
      <sz val="12"/>
      <name val="Times New Roman"/>
      <family val="1"/>
      <charset val="204"/>
    </font>
    <font>
      <b/>
      <i/>
      <u/>
      <sz val="12"/>
      <name val="Arial"/>
      <family val="2"/>
      <charset val="204"/>
    </font>
    <font>
      <b/>
      <i/>
      <sz val="8"/>
      <name val="Arial"/>
      <family val="2"/>
      <charset val="204"/>
    </font>
    <font>
      <b/>
      <sz val="11"/>
      <name val="Arial"/>
      <family val="2"/>
      <charset val="204"/>
    </font>
    <font>
      <b/>
      <u/>
      <sz val="10"/>
      <name val="Arial Cyr"/>
      <charset val="204"/>
    </font>
    <font>
      <b/>
      <u/>
      <sz val="12"/>
      <name val="Times New Roman"/>
      <family val="1"/>
      <charset val="204"/>
    </font>
    <font>
      <b/>
      <sz val="13"/>
      <name val="Arial"/>
      <family val="2"/>
      <charset val="204"/>
    </font>
    <font>
      <sz val="13"/>
      <name val="Arial"/>
      <family val="2"/>
      <charset val="204"/>
    </font>
    <font>
      <b/>
      <sz val="9"/>
      <name val="Arial"/>
      <family val="2"/>
      <charset val="204"/>
    </font>
    <font>
      <sz val="12"/>
      <name val="Calibri"/>
      <family val="2"/>
      <charset val="204"/>
    </font>
    <font>
      <sz val="9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sz val="10"/>
      <color theme="0"/>
      <name val="Arial Cyr"/>
      <charset val="204"/>
    </font>
    <font>
      <sz val="11"/>
      <name val="Calibri"/>
      <family val="2"/>
      <charset val="204"/>
      <scheme val="minor"/>
    </font>
    <font>
      <b/>
      <sz val="26"/>
      <name val="Arial"/>
      <family val="2"/>
      <charset val="204"/>
    </font>
    <font>
      <b/>
      <sz val="13"/>
      <color rgb="FFEF3124"/>
      <name val="Arial"/>
      <family val="2"/>
      <charset val="204"/>
    </font>
    <font>
      <sz val="10"/>
      <color theme="1"/>
      <name val="Arial Cyr"/>
      <charset val="204"/>
    </font>
    <font>
      <b/>
      <sz val="9"/>
      <color theme="1"/>
      <name val="Arial"/>
      <family val="2"/>
      <charset val="204"/>
    </font>
    <font>
      <sz val="16"/>
      <name val="Arial Cyr"/>
      <charset val="204"/>
    </font>
    <font>
      <sz val="20"/>
      <name val="Arial Cyr"/>
      <charset val="204"/>
    </font>
    <font>
      <sz val="26"/>
      <name val="Arial Cyr"/>
      <charset val="204"/>
    </font>
    <font>
      <sz val="36"/>
      <name val="Arial Cyr"/>
      <charset val="204"/>
    </font>
    <font>
      <sz val="18"/>
      <name val="Arial Cyr"/>
      <charset val="204"/>
    </font>
    <font>
      <b/>
      <i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name val="Arial"/>
      <family val="2"/>
      <charset val="204"/>
    </font>
    <font>
      <b/>
      <sz val="10"/>
      <color rgb="FFFF2919"/>
      <name val="Arial"/>
      <family val="2"/>
      <charset val="204"/>
    </font>
    <font>
      <sz val="12"/>
      <color theme="0"/>
      <name val="Arial"/>
      <family val="2"/>
      <charset val="204"/>
    </font>
    <font>
      <b/>
      <i/>
      <u/>
      <sz val="12"/>
      <color theme="0"/>
      <name val="Arial"/>
      <family val="2"/>
      <charset val="204"/>
    </font>
    <font>
      <sz val="10"/>
      <color theme="0"/>
      <name val="Arial"/>
      <family val="2"/>
      <charset val="204"/>
    </font>
    <font>
      <b/>
      <sz val="13"/>
      <color theme="0"/>
      <name val="Arial"/>
      <family val="2"/>
      <charset val="204"/>
    </font>
    <font>
      <sz val="11"/>
      <color theme="0"/>
      <name val="Arial"/>
      <family val="2"/>
      <charset val="204"/>
    </font>
    <font>
      <b/>
      <i/>
      <sz val="10"/>
      <color theme="0"/>
      <name val="Arial"/>
      <family val="2"/>
      <charset val="204"/>
    </font>
    <font>
      <b/>
      <sz val="12"/>
      <color theme="0"/>
      <name val="Arial"/>
      <family val="2"/>
      <charset val="204"/>
    </font>
  </fonts>
  <fills count="3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FF"/>
        <bgColor indexed="64"/>
      </patternFill>
    </fill>
  </fills>
  <borders count="3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hair">
        <color rgb="FFEF3124"/>
      </left>
      <right/>
      <top/>
      <bottom/>
      <diagonal/>
    </border>
    <border>
      <left/>
      <right style="hair">
        <color rgb="FFEF3124"/>
      </right>
      <top/>
      <bottom/>
      <diagonal/>
    </border>
    <border>
      <left/>
      <right/>
      <top/>
      <bottom style="hair">
        <color rgb="FFEF3124"/>
      </bottom>
      <diagonal/>
    </border>
    <border>
      <left/>
      <right style="hair">
        <color rgb="FFFF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rgb="FFFF2919"/>
      </left>
      <right style="hair">
        <color rgb="FFFF2919"/>
      </right>
      <top style="hair">
        <color rgb="FFFF2919"/>
      </top>
      <bottom style="hair">
        <color rgb="FFFF2919"/>
      </bottom>
      <diagonal/>
    </border>
    <border>
      <left style="hair">
        <color rgb="FFFF2919"/>
      </left>
      <right/>
      <top style="hair">
        <color rgb="FFFF2919"/>
      </top>
      <bottom style="hair">
        <color rgb="FFFF2919"/>
      </bottom>
      <diagonal/>
    </border>
    <border>
      <left/>
      <right/>
      <top style="hair">
        <color rgb="FFFF2919"/>
      </top>
      <bottom style="hair">
        <color rgb="FFFF2919"/>
      </bottom>
      <diagonal/>
    </border>
    <border>
      <left/>
      <right style="hair">
        <color rgb="FFFF2919"/>
      </right>
      <top style="hair">
        <color rgb="FFFF2919"/>
      </top>
      <bottom style="hair">
        <color rgb="FFFF2919"/>
      </bottom>
      <diagonal/>
    </border>
    <border>
      <left/>
      <right/>
      <top/>
      <bottom style="hair">
        <color rgb="FFFF2919"/>
      </bottom>
      <diagonal/>
    </border>
    <border>
      <left style="hair">
        <color rgb="FFFF2919"/>
      </left>
      <right/>
      <top style="hair">
        <color rgb="FFFF2919"/>
      </top>
      <bottom/>
      <diagonal/>
    </border>
    <border>
      <left/>
      <right style="hair">
        <color rgb="FFFF2919"/>
      </right>
      <top style="hair">
        <color rgb="FFFF2919"/>
      </top>
      <bottom/>
      <diagonal/>
    </border>
    <border>
      <left style="hair">
        <color rgb="FFFF2919"/>
      </left>
      <right/>
      <top/>
      <bottom style="hair">
        <color rgb="FFFF2919"/>
      </bottom>
      <diagonal/>
    </border>
    <border>
      <left/>
      <right style="hair">
        <color rgb="FFFF2919"/>
      </right>
      <top/>
      <bottom style="hair">
        <color rgb="FFFF2919"/>
      </bottom>
      <diagonal/>
    </border>
    <border>
      <left style="hair">
        <color rgb="FFFF2919"/>
      </left>
      <right style="hair">
        <color rgb="FFFF2919"/>
      </right>
      <top style="hair">
        <color rgb="FFFF2919"/>
      </top>
      <bottom/>
      <diagonal/>
    </border>
    <border>
      <left style="hair">
        <color rgb="FFFF2919"/>
      </left>
      <right style="hair">
        <color rgb="FFFF2919"/>
      </right>
      <top/>
      <bottom style="hair">
        <color rgb="FFFF2919"/>
      </bottom>
      <diagonal/>
    </border>
    <border>
      <left/>
      <right style="hair">
        <color rgb="FFFF2919"/>
      </right>
      <top/>
      <bottom/>
      <diagonal/>
    </border>
  </borders>
  <cellStyleXfs count="47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9" borderId="0" applyNumberFormat="0" applyBorder="0" applyAlignment="0" applyProtection="0"/>
    <xf numFmtId="0" fontId="4" fillId="3" borderId="0" applyNumberFormat="0" applyBorder="0" applyAlignment="0" applyProtection="0"/>
    <xf numFmtId="0" fontId="5" fillId="20" borderId="1" applyNumberFormat="0" applyAlignment="0" applyProtection="0"/>
    <xf numFmtId="0" fontId="6" fillId="21" borderId="2" applyNumberFormat="0" applyAlignment="0" applyProtection="0"/>
    <xf numFmtId="0" fontId="7" fillId="0" borderId="0" applyNumberFormat="0" applyFill="0" applyBorder="0" applyAlignment="0" applyProtection="0"/>
    <xf numFmtId="0" fontId="8" fillId="4" borderId="0" applyNumberFormat="0" applyBorder="0" applyAlignment="0" applyProtection="0"/>
    <xf numFmtId="0" fontId="9" fillId="0" borderId="3" applyNumberFormat="0" applyFill="0" applyAlignment="0" applyProtection="0"/>
    <xf numFmtId="0" fontId="10" fillId="0" borderId="4" applyNumberFormat="0" applyFill="0" applyAlignment="0" applyProtection="0"/>
    <xf numFmtId="0" fontId="11" fillId="0" borderId="5" applyNumberFormat="0" applyFill="0" applyAlignment="0" applyProtection="0"/>
    <xf numFmtId="0" fontId="11" fillId="0" borderId="0" applyNumberFormat="0" applyFill="0" applyBorder="0" applyAlignment="0" applyProtection="0"/>
    <xf numFmtId="0" fontId="1" fillId="0" borderId="0"/>
    <xf numFmtId="0" fontId="12" fillId="7" borderId="1" applyNumberFormat="0" applyAlignment="0" applyProtection="0"/>
    <xf numFmtId="0" fontId="13" fillId="0" borderId="6" applyNumberFormat="0" applyFill="0" applyAlignment="0" applyProtection="0"/>
    <xf numFmtId="0" fontId="14" fillId="22" borderId="0" applyNumberFormat="0" applyBorder="0" applyAlignment="0" applyProtection="0"/>
    <xf numFmtId="0" fontId="15" fillId="23" borderId="7" applyNumberFormat="0" applyFont="0" applyAlignment="0" applyProtection="0"/>
    <xf numFmtId="0" fontId="16" fillId="20" borderId="8" applyNumberFormat="0" applyAlignment="0" applyProtection="0"/>
    <xf numFmtId="0" fontId="17" fillId="0" borderId="0" applyNumberFormat="0" applyFill="0" applyBorder="0" applyAlignment="0" applyProtection="0"/>
    <xf numFmtId="0" fontId="18" fillId="0" borderId="9" applyNumberFormat="0" applyFill="0" applyAlignment="0" applyProtection="0"/>
    <xf numFmtId="0" fontId="19" fillId="0" borderId="0" applyNumberFormat="0" applyFill="0" applyBorder="0" applyAlignment="0" applyProtection="0"/>
    <xf numFmtId="0" fontId="43" fillId="0" borderId="0"/>
    <xf numFmtId="9" fontId="1" fillId="0" borderId="0" applyFont="0" applyFill="0" applyBorder="0" applyAlignment="0" applyProtection="0"/>
    <xf numFmtId="0" fontId="20" fillId="0" borderId="0"/>
    <xf numFmtId="165" fontId="1" fillId="0" borderId="0" applyFont="0" applyFill="0" applyBorder="0" applyAlignment="0" applyProtection="0"/>
  </cellStyleXfs>
  <cellXfs count="286">
    <xf numFmtId="0" fontId="0" fillId="0" borderId="0" xfId="0"/>
    <xf numFmtId="0" fontId="22" fillId="0" borderId="0" xfId="0" applyFont="1" applyFill="1" applyBorder="1" applyAlignment="1" applyProtection="1">
      <alignment vertical="center" wrapText="1"/>
      <protection hidden="1"/>
    </xf>
    <xf numFmtId="0" fontId="21" fillId="24" borderId="0" xfId="0" applyFont="1" applyFill="1" applyBorder="1" applyAlignment="1" applyProtection="1">
      <alignment vertical="center"/>
      <protection hidden="1"/>
    </xf>
    <xf numFmtId="0" fontId="24" fillId="24" borderId="0" xfId="0" applyFont="1" applyFill="1" applyBorder="1" applyAlignment="1" applyProtection="1">
      <alignment horizontal="center" vertical="center"/>
      <protection hidden="1"/>
    </xf>
    <xf numFmtId="0" fontId="22" fillId="24" borderId="0" xfId="0" applyFont="1" applyFill="1" applyAlignment="1" applyProtection="1">
      <alignment vertical="center"/>
      <protection hidden="1"/>
    </xf>
    <xf numFmtId="49" fontId="21" fillId="24" borderId="0" xfId="0" applyNumberFormat="1" applyFont="1" applyFill="1" applyBorder="1" applyAlignment="1" applyProtection="1">
      <alignment vertical="center" wrapText="1"/>
      <protection hidden="1"/>
    </xf>
    <xf numFmtId="0" fontId="22" fillId="24" borderId="0" xfId="0" applyFont="1" applyFill="1" applyBorder="1" applyAlignment="1" applyProtection="1">
      <alignment vertical="center"/>
      <protection hidden="1"/>
    </xf>
    <xf numFmtId="0" fontId="22" fillId="24" borderId="0" xfId="0" applyFont="1" applyFill="1" applyBorder="1" applyAlignment="1" applyProtection="1">
      <alignment horizontal="left" wrapText="1"/>
      <protection hidden="1"/>
    </xf>
    <xf numFmtId="0" fontId="22" fillId="24" borderId="0" xfId="0" applyFont="1" applyFill="1" applyBorder="1" applyAlignment="1" applyProtection="1">
      <protection hidden="1"/>
    </xf>
    <xf numFmtId="49" fontId="28" fillId="24" borderId="0" xfId="0" applyNumberFormat="1" applyFont="1" applyFill="1" applyBorder="1" applyAlignment="1" applyProtection="1">
      <alignment horizontal="center" vertical="center"/>
      <protection hidden="1"/>
    </xf>
    <xf numFmtId="0" fontId="24" fillId="24" borderId="0" xfId="0" applyFont="1" applyFill="1" applyBorder="1" applyAlignment="1" applyProtection="1">
      <alignment vertical="center"/>
      <protection hidden="1"/>
    </xf>
    <xf numFmtId="0" fontId="23" fillId="24" borderId="0" xfId="0" applyFont="1" applyFill="1" applyBorder="1" applyAlignment="1" applyProtection="1">
      <alignment horizontal="right" vertical="center" indent="1"/>
      <protection hidden="1"/>
    </xf>
    <xf numFmtId="0" fontId="22" fillId="24" borderId="0" xfId="0" applyFont="1" applyFill="1" applyBorder="1" applyAlignment="1" applyProtection="1">
      <alignment horizontal="right" indent="1"/>
      <protection hidden="1"/>
    </xf>
    <xf numFmtId="0" fontId="21" fillId="24" borderId="0" xfId="0" applyNumberFormat="1" applyFont="1" applyFill="1" applyBorder="1" applyAlignment="1" applyProtection="1">
      <alignment horizontal="center" vertical="center" wrapText="1"/>
      <protection hidden="1"/>
    </xf>
    <xf numFmtId="49" fontId="21" fillId="24" borderId="0" xfId="0" applyNumberFormat="1" applyFont="1" applyFill="1" applyBorder="1" applyAlignment="1" applyProtection="1">
      <alignment horizontal="center"/>
      <protection hidden="1"/>
    </xf>
    <xf numFmtId="0" fontId="29" fillId="0" borderId="0" xfId="0" applyFont="1"/>
    <xf numFmtId="0" fontId="21" fillId="24" borderId="0" xfId="0" applyNumberFormat="1" applyFont="1" applyFill="1" applyBorder="1" applyAlignment="1" applyProtection="1">
      <alignment horizontal="left" vertical="center" wrapText="1"/>
      <protection hidden="1"/>
    </xf>
    <xf numFmtId="0" fontId="22" fillId="24" borderId="0" xfId="0" applyFont="1" applyFill="1" applyAlignment="1" applyProtection="1">
      <alignment vertical="center" wrapText="1"/>
      <protection hidden="1"/>
    </xf>
    <xf numFmtId="0" fontId="22" fillId="24" borderId="0" xfId="0" applyFont="1" applyFill="1" applyBorder="1" applyAlignment="1" applyProtection="1">
      <alignment wrapText="1"/>
      <protection hidden="1"/>
    </xf>
    <xf numFmtId="0" fontId="44" fillId="24" borderId="0" xfId="43" applyFont="1" applyFill="1" applyBorder="1" applyAlignment="1" applyProtection="1">
      <alignment vertical="center"/>
      <protection hidden="1"/>
    </xf>
    <xf numFmtId="0" fontId="44" fillId="24" borderId="0" xfId="43" applyFont="1" applyFill="1" applyAlignment="1" applyProtection="1">
      <alignment vertical="center"/>
      <protection hidden="1"/>
    </xf>
    <xf numFmtId="0" fontId="22" fillId="24" borderId="0" xfId="0" applyFont="1" applyFill="1" applyAlignment="1" applyProtection="1">
      <alignment horizontal="right" vertical="center"/>
      <protection hidden="1"/>
    </xf>
    <xf numFmtId="0" fontId="31" fillId="24" borderId="0" xfId="0" applyFont="1" applyFill="1" applyBorder="1" applyAlignment="1" applyProtection="1">
      <alignment vertical="center"/>
      <protection hidden="1"/>
    </xf>
    <xf numFmtId="0" fontId="30" fillId="24" borderId="0" xfId="43" applyFont="1" applyFill="1" applyBorder="1" applyAlignment="1" applyProtection="1">
      <alignment horizontal="center" vertical="center" wrapText="1"/>
      <protection hidden="1"/>
    </xf>
    <xf numFmtId="0" fontId="39" fillId="24" borderId="0" xfId="0" applyFont="1" applyFill="1" applyBorder="1" applyAlignment="1" applyProtection="1">
      <alignment vertical="center"/>
      <protection hidden="1"/>
    </xf>
    <xf numFmtId="0" fontId="39" fillId="24" borderId="0" xfId="0" applyFont="1" applyFill="1" applyBorder="1" applyAlignment="1" applyProtection="1">
      <alignment vertical="center" wrapText="1"/>
      <protection hidden="1"/>
    </xf>
    <xf numFmtId="0" fontId="0" fillId="24" borderId="0" xfId="0" applyFill="1" applyProtection="1">
      <protection hidden="1"/>
    </xf>
    <xf numFmtId="0" fontId="36" fillId="0" borderId="0" xfId="0" applyFont="1" applyBorder="1"/>
    <xf numFmtId="0" fontId="32" fillId="0" borderId="0" xfId="0" applyFont="1" applyBorder="1" applyAlignment="1">
      <alignment horizontal="left" vertical="center"/>
    </xf>
    <xf numFmtId="0" fontId="0" fillId="0" borderId="0" xfId="0" applyBorder="1"/>
    <xf numFmtId="0" fontId="37" fillId="0" borderId="0" xfId="0" applyFont="1" applyBorder="1" applyAlignment="1">
      <alignment horizontal="left" vertical="center"/>
    </xf>
    <xf numFmtId="0" fontId="22" fillId="24" borderId="0" xfId="0" applyFont="1" applyFill="1" applyBorder="1" applyAlignment="1" applyProtection="1">
      <alignment horizontal="center" vertical="center"/>
      <protection hidden="1"/>
    </xf>
    <xf numFmtId="0" fontId="22" fillId="24" borderId="0" xfId="0" applyFont="1" applyFill="1" applyBorder="1" applyAlignment="1" applyProtection="1">
      <alignment horizontal="center" vertical="center" wrapText="1"/>
      <protection hidden="1"/>
    </xf>
    <xf numFmtId="0" fontId="22" fillId="24" borderId="0" xfId="0" applyFont="1" applyFill="1" applyBorder="1" applyAlignment="1" applyProtection="1">
      <alignment vertical="center" wrapText="1"/>
      <protection hidden="1"/>
    </xf>
    <xf numFmtId="0" fontId="32" fillId="0" borderId="0" xfId="0" applyFont="1" applyFill="1" applyBorder="1" applyAlignment="1">
      <alignment horizontal="left" vertical="center"/>
    </xf>
    <xf numFmtId="0" fontId="37" fillId="0" borderId="0" xfId="0" applyFont="1" applyFill="1" applyBorder="1" applyAlignment="1">
      <alignment horizontal="left" vertical="center"/>
    </xf>
    <xf numFmtId="0" fontId="25" fillId="24" borderId="0" xfId="0" applyFont="1" applyFill="1" applyAlignment="1" applyProtection="1">
      <alignment horizontal="left" vertical="center"/>
      <protection hidden="1"/>
    </xf>
    <xf numFmtId="0" fontId="27" fillId="24" borderId="0" xfId="0" applyFont="1" applyFill="1" applyAlignment="1" applyProtection="1">
      <alignment vertical="center"/>
      <protection hidden="1"/>
    </xf>
    <xf numFmtId="0" fontId="41" fillId="24" borderId="0" xfId="0" applyFont="1" applyFill="1" applyAlignment="1" applyProtection="1">
      <alignment horizontal="right"/>
      <protection hidden="1"/>
    </xf>
    <xf numFmtId="0" fontId="0" fillId="24" borderId="0" xfId="0" applyFill="1" applyBorder="1" applyProtection="1">
      <protection hidden="1"/>
    </xf>
    <xf numFmtId="0" fontId="26" fillId="24" borderId="0" xfId="0" applyFont="1" applyFill="1" applyAlignment="1" applyProtection="1">
      <alignment vertical="top" wrapText="1"/>
      <protection hidden="1"/>
    </xf>
    <xf numFmtId="0" fontId="21" fillId="24" borderId="0" xfId="0" applyFont="1" applyFill="1" applyBorder="1" applyAlignment="1" applyProtection="1">
      <alignment horizontal="center" vertical="center"/>
      <protection hidden="1"/>
    </xf>
    <xf numFmtId="0" fontId="21" fillId="24" borderId="0" xfId="0" applyFont="1" applyFill="1" applyBorder="1" applyAlignment="1" applyProtection="1">
      <alignment vertical="center" wrapText="1"/>
      <protection hidden="1"/>
    </xf>
    <xf numFmtId="0" fontId="33" fillId="24" borderId="0" xfId="0" applyFont="1" applyFill="1" applyBorder="1" applyAlignment="1" applyProtection="1">
      <alignment vertical="center" wrapText="1"/>
      <protection hidden="1"/>
    </xf>
    <xf numFmtId="0" fontId="46" fillId="24" borderId="0" xfId="0" applyFont="1" applyFill="1" applyBorder="1" applyProtection="1">
      <protection hidden="1"/>
    </xf>
    <xf numFmtId="0" fontId="0" fillId="24" borderId="0" xfId="0" applyFont="1" applyFill="1" applyBorder="1" applyProtection="1">
      <protection hidden="1"/>
    </xf>
    <xf numFmtId="0" fontId="35" fillId="24" borderId="0" xfId="43" applyFont="1" applyFill="1" applyBorder="1" applyAlignment="1" applyProtection="1">
      <alignment vertical="center" wrapText="1"/>
      <protection hidden="1"/>
    </xf>
    <xf numFmtId="0" fontId="0" fillId="24" borderId="0" xfId="0" applyFont="1" applyFill="1" applyBorder="1" applyAlignment="1" applyProtection="1">
      <alignment horizontal="center"/>
      <protection hidden="1"/>
    </xf>
    <xf numFmtId="0" fontId="47" fillId="24" borderId="0" xfId="43" applyFont="1" applyFill="1" applyBorder="1" applyProtection="1">
      <protection hidden="1"/>
    </xf>
    <xf numFmtId="0" fontId="35" fillId="24" borderId="0" xfId="43" applyFont="1" applyFill="1" applyBorder="1" applyAlignment="1" applyProtection="1">
      <alignment horizontal="center" vertical="center" wrapText="1"/>
      <protection hidden="1"/>
    </xf>
    <xf numFmtId="0" fontId="47" fillId="24" borderId="0" xfId="43" applyFont="1" applyFill="1" applyBorder="1" applyAlignment="1" applyProtection="1">
      <alignment horizontal="center"/>
      <protection hidden="1"/>
    </xf>
    <xf numFmtId="0" fontId="42" fillId="24" borderId="0" xfId="0" applyFont="1" applyFill="1" applyBorder="1" applyAlignment="1" applyProtection="1">
      <alignment vertical="center" wrapText="1" shrinkToFit="1"/>
      <protection hidden="1"/>
    </xf>
    <xf numFmtId="10" fontId="22" fillId="24" borderId="0" xfId="44" applyNumberFormat="1" applyFont="1" applyFill="1" applyBorder="1" applyAlignment="1" applyProtection="1">
      <alignment vertical="center" wrapText="1"/>
      <protection hidden="1"/>
    </xf>
    <xf numFmtId="0" fontId="35" fillId="24" borderId="0" xfId="43" applyNumberFormat="1" applyFont="1" applyFill="1" applyBorder="1" applyAlignment="1" applyProtection="1">
      <alignment vertical="center" wrapText="1"/>
      <protection hidden="1"/>
    </xf>
    <xf numFmtId="0" fontId="21" fillId="24" borderId="0" xfId="0" applyFont="1" applyFill="1" applyAlignment="1" applyProtection="1">
      <alignment horizontal="right" vertical="top"/>
      <protection hidden="1"/>
    </xf>
    <xf numFmtId="0" fontId="0" fillId="24" borderId="0" xfId="0" applyFill="1"/>
    <xf numFmtId="0" fontId="30" fillId="24" borderId="0" xfId="0" applyFont="1" applyFill="1" applyBorder="1" applyAlignment="1" applyProtection="1">
      <alignment vertical="center"/>
      <protection hidden="1"/>
    </xf>
    <xf numFmtId="0" fontId="21" fillId="24" borderId="0" xfId="0" applyFont="1" applyFill="1" applyAlignment="1" applyProtection="1">
      <alignment vertical="center"/>
      <protection hidden="1"/>
    </xf>
    <xf numFmtId="0" fontId="27" fillId="24" borderId="0" xfId="0" applyFont="1" applyFill="1" applyAlignment="1" applyProtection="1">
      <alignment horizontal="left" vertical="center"/>
      <protection hidden="1"/>
    </xf>
    <xf numFmtId="0" fontId="40" fillId="24" borderId="0" xfId="0" applyFont="1" applyFill="1" applyAlignment="1" applyProtection="1">
      <alignment horizontal="center" vertical="center" wrapText="1" shrinkToFit="1"/>
      <protection hidden="1"/>
    </xf>
    <xf numFmtId="0" fontId="22" fillId="24" borderId="0" xfId="0" applyFont="1" applyFill="1" applyBorder="1" applyAlignment="1" applyProtection="1">
      <alignment horizontal="center" vertical="center" wrapText="1"/>
      <protection hidden="1"/>
    </xf>
    <xf numFmtId="0" fontId="22" fillId="24" borderId="0" xfId="0" applyFont="1" applyFill="1" applyBorder="1" applyAlignment="1" applyProtection="1">
      <alignment horizontal="center" vertical="center"/>
      <protection hidden="1"/>
    </xf>
    <xf numFmtId="0" fontId="22" fillId="24" borderId="0" xfId="0" applyFont="1" applyFill="1" applyBorder="1" applyAlignment="1" applyProtection="1">
      <alignment horizontal="center" vertical="center" wrapText="1"/>
      <protection hidden="1"/>
    </xf>
    <xf numFmtId="0" fontId="34" fillId="24" borderId="0" xfId="0" applyFont="1" applyFill="1" applyBorder="1" applyAlignment="1" applyProtection="1">
      <alignment vertical="center" wrapText="1"/>
      <protection hidden="1"/>
    </xf>
    <xf numFmtId="0" fontId="49" fillId="24" borderId="0" xfId="0" applyFont="1" applyFill="1" applyBorder="1" applyAlignment="1" applyProtection="1">
      <alignment horizontal="left" vertical="top" indent="1"/>
      <protection hidden="1"/>
    </xf>
    <xf numFmtId="0" fontId="0" fillId="25" borderId="14" xfId="0" applyFill="1" applyBorder="1" applyAlignment="1">
      <alignment horizontal="center" vertical="center"/>
    </xf>
    <xf numFmtId="10" fontId="22" fillId="0" borderId="0" xfId="44" applyNumberFormat="1" applyFont="1" applyFill="1" applyBorder="1" applyAlignment="1" applyProtection="1">
      <alignment vertical="center" wrapText="1"/>
      <protection hidden="1"/>
    </xf>
    <xf numFmtId="0" fontId="51" fillId="24" borderId="0" xfId="0" applyFont="1" applyFill="1" applyAlignment="1" applyProtection="1">
      <alignment horizontal="center" vertical="center" wrapText="1" shrinkToFit="1"/>
      <protection hidden="1"/>
    </xf>
    <xf numFmtId="0" fontId="50" fillId="24" borderId="0" xfId="0" applyFont="1" applyFill="1" applyBorder="1" applyAlignment="1" applyProtection="1">
      <alignment horizontal="center" vertical="center"/>
      <protection hidden="1"/>
    </xf>
    <xf numFmtId="0" fontId="21" fillId="0" borderId="0" xfId="0" applyFont="1" applyFill="1" applyBorder="1" applyAlignment="1" applyProtection="1">
      <alignment vertical="center" wrapText="1"/>
      <protection hidden="1"/>
    </xf>
    <xf numFmtId="0" fontId="29" fillId="25" borderId="14" xfId="0" applyFont="1" applyFill="1" applyBorder="1" applyAlignment="1">
      <alignment horizontal="left" vertical="center"/>
    </xf>
    <xf numFmtId="0" fontId="22" fillId="24" borderId="0" xfId="0" applyFont="1" applyFill="1" applyBorder="1" applyAlignment="1" applyProtection="1">
      <alignment horizontal="center" vertical="center" wrapText="1"/>
      <protection hidden="1"/>
    </xf>
    <xf numFmtId="0" fontId="22" fillId="24" borderId="0" xfId="0" applyFont="1" applyFill="1" applyAlignment="1" applyProtection="1">
      <alignment horizontal="left" vertical="center"/>
      <protection hidden="1"/>
    </xf>
    <xf numFmtId="0" fontId="0" fillId="26" borderId="0" xfId="0" applyFont="1" applyFill="1" applyBorder="1" applyAlignment="1" applyProtection="1">
      <alignment horizontal="right"/>
      <protection hidden="1"/>
    </xf>
    <xf numFmtId="0" fontId="0" fillId="26" borderId="0" xfId="0" applyFont="1" applyFill="1" applyBorder="1" applyAlignment="1" applyProtection="1">
      <alignment horizontal="center"/>
      <protection hidden="1"/>
    </xf>
    <xf numFmtId="0" fontId="35" fillId="26" borderId="0" xfId="43" applyFont="1" applyFill="1" applyBorder="1" applyAlignment="1" applyProtection="1">
      <alignment horizontal="center" vertical="center" wrapText="1"/>
      <protection hidden="1"/>
    </xf>
    <xf numFmtId="0" fontId="50" fillId="24" borderId="0" xfId="0" applyFont="1" applyFill="1" applyBorder="1" applyProtection="1">
      <protection hidden="1"/>
    </xf>
    <xf numFmtId="0" fontId="29" fillId="0" borderId="15" xfId="0" applyFont="1" applyFill="1" applyBorder="1" applyAlignment="1">
      <alignment horizontal="center" vertical="center"/>
    </xf>
    <xf numFmtId="14" fontId="50" fillId="24" borderId="0" xfId="0" applyNumberFormat="1" applyFont="1" applyFill="1" applyBorder="1" applyProtection="1">
      <protection hidden="1"/>
    </xf>
    <xf numFmtId="164" fontId="51" fillId="24" borderId="0" xfId="0" applyNumberFormat="1" applyFont="1" applyFill="1" applyAlignment="1" applyProtection="1">
      <alignment horizontal="center" vertical="center" wrapText="1" shrinkToFit="1"/>
      <protection hidden="1"/>
    </xf>
    <xf numFmtId="164" fontId="22" fillId="0" borderId="0" xfId="0" applyNumberFormat="1" applyFont="1" applyFill="1" applyBorder="1" applyAlignment="1" applyProtection="1">
      <alignment vertical="center" wrapText="1"/>
      <protection hidden="1"/>
    </xf>
    <xf numFmtId="0" fontId="40" fillId="24" borderId="0" xfId="0" applyFont="1" applyFill="1" applyAlignment="1" applyProtection="1">
      <alignment horizontal="center" vertical="center" wrapText="1" shrinkToFit="1"/>
      <protection hidden="1"/>
    </xf>
    <xf numFmtId="0" fontId="50" fillId="26" borderId="0" xfId="0" applyFont="1" applyFill="1" applyBorder="1" applyAlignment="1" applyProtection="1">
      <alignment horizontal="center" vertical="center"/>
      <protection hidden="1"/>
    </xf>
    <xf numFmtId="0" fontId="50" fillId="26" borderId="0" xfId="0" applyFont="1" applyFill="1" applyBorder="1" applyProtection="1">
      <protection hidden="1"/>
    </xf>
    <xf numFmtId="0" fontId="22" fillId="26" borderId="0" xfId="0" applyFont="1" applyFill="1" applyBorder="1" applyAlignment="1" applyProtection="1">
      <alignment vertical="center" wrapText="1"/>
      <protection hidden="1"/>
    </xf>
    <xf numFmtId="2" fontId="44" fillId="0" borderId="10" xfId="0" applyNumberFormat="1" applyFont="1" applyFill="1" applyBorder="1" applyAlignment="1" applyProtection="1">
      <alignment vertical="center"/>
      <protection hidden="1"/>
    </xf>
    <xf numFmtId="0" fontId="22" fillId="24" borderId="0" xfId="0" applyFont="1" applyFill="1" applyBorder="1" applyAlignment="1" applyProtection="1">
      <alignment horizontal="center" vertical="center" wrapText="1"/>
      <protection hidden="1"/>
    </xf>
    <xf numFmtId="0" fontId="0" fillId="24" borderId="0" xfId="0" applyFill="1" applyProtection="1"/>
    <xf numFmtId="0" fontId="26" fillId="24" borderId="0" xfId="0" applyFont="1" applyFill="1" applyBorder="1" applyAlignment="1" applyProtection="1">
      <alignment horizontal="right" vertical="center" wrapText="1" shrinkToFit="1"/>
      <protection hidden="1"/>
    </xf>
    <xf numFmtId="0" fontId="22" fillId="24" borderId="0" xfId="0" applyFont="1" applyFill="1" applyAlignment="1" applyProtection="1">
      <alignment horizontal="center" vertical="center"/>
      <protection hidden="1"/>
    </xf>
    <xf numFmtId="0" fontId="26" fillId="24" borderId="11" xfId="0" applyFont="1" applyFill="1" applyBorder="1" applyAlignment="1" applyProtection="1">
      <alignment horizontal="right" vertical="center" wrapText="1" shrinkToFit="1"/>
      <protection hidden="1"/>
    </xf>
    <xf numFmtId="0" fontId="21" fillId="24" borderId="0" xfId="0" applyFont="1" applyFill="1" applyBorder="1" applyAlignment="1" applyProtection="1">
      <alignment horizontal="right" vertical="center"/>
      <protection hidden="1"/>
    </xf>
    <xf numFmtId="0" fontId="26" fillId="24" borderId="0" xfId="0" applyFont="1" applyFill="1" applyBorder="1" applyAlignment="1" applyProtection="1">
      <alignment horizontal="right" vertical="center" wrapText="1"/>
      <protection hidden="1"/>
    </xf>
    <xf numFmtId="0" fontId="22" fillId="24" borderId="0" xfId="0" applyFont="1" applyFill="1" applyBorder="1" applyAlignment="1" applyProtection="1">
      <alignment horizontal="right" vertical="center"/>
      <protection hidden="1"/>
    </xf>
    <xf numFmtId="164" fontId="22" fillId="26" borderId="0" xfId="0" applyNumberFormat="1" applyFont="1" applyFill="1" applyBorder="1" applyAlignment="1" applyProtection="1">
      <alignment vertical="center"/>
      <protection hidden="1"/>
    </xf>
    <xf numFmtId="14" fontId="0" fillId="24" borderId="0" xfId="0" applyNumberFormat="1" applyFont="1" applyFill="1" applyBorder="1" applyProtection="1">
      <protection hidden="1"/>
    </xf>
    <xf numFmtId="0" fontId="21" fillId="24" borderId="0" xfId="0" applyFont="1" applyFill="1" applyAlignment="1" applyProtection="1">
      <alignment vertical="center" wrapText="1"/>
      <protection hidden="1"/>
    </xf>
    <xf numFmtId="0" fontId="21" fillId="24" borderId="0" xfId="0" applyFont="1" applyFill="1" applyBorder="1" applyAlignment="1" applyProtection="1">
      <alignment horizontal="center" vertical="center" wrapText="1"/>
      <protection hidden="1"/>
    </xf>
    <xf numFmtId="0" fontId="22" fillId="24" borderId="0" xfId="0" applyFont="1" applyFill="1" applyBorder="1" applyAlignment="1" applyProtection="1">
      <alignment horizontal="right" wrapText="1" indent="1"/>
      <protection hidden="1"/>
    </xf>
    <xf numFmtId="0" fontId="22" fillId="24" borderId="0" xfId="0" applyFont="1" applyFill="1" applyBorder="1" applyAlignment="1" applyProtection="1">
      <alignment horizontal="center" vertical="center"/>
      <protection hidden="1"/>
    </xf>
    <xf numFmtId="0" fontId="22" fillId="24" borderId="0" xfId="0" applyFont="1" applyFill="1" applyBorder="1" applyAlignment="1" applyProtection="1">
      <alignment horizontal="center" vertical="center" wrapText="1"/>
      <protection hidden="1"/>
    </xf>
    <xf numFmtId="0" fontId="28" fillId="24" borderId="0" xfId="0" applyFont="1" applyFill="1" applyBorder="1" applyAlignment="1" applyProtection="1">
      <alignment horizontal="center" vertical="center" wrapText="1"/>
      <protection hidden="1"/>
    </xf>
    <xf numFmtId="0" fontId="26" fillId="24" borderId="0" xfId="0" applyFont="1" applyFill="1" applyAlignment="1" applyProtection="1">
      <alignment horizontal="left" vertical="top" wrapText="1"/>
      <protection hidden="1"/>
    </xf>
    <xf numFmtId="3" fontId="51" fillId="0" borderId="0" xfId="0" applyNumberFormat="1" applyFont="1" applyFill="1" applyAlignment="1" applyProtection="1">
      <alignment horizontal="center" vertical="center" wrapText="1" shrinkToFit="1"/>
      <protection hidden="1"/>
    </xf>
    <xf numFmtId="2" fontId="44" fillId="27" borderId="10" xfId="0" applyNumberFormat="1" applyFont="1" applyFill="1" applyBorder="1" applyAlignment="1" applyProtection="1">
      <alignment vertical="center"/>
      <protection hidden="1"/>
    </xf>
    <xf numFmtId="0" fontId="50" fillId="27" borderId="0" xfId="0" applyFont="1" applyFill="1" applyBorder="1" applyProtection="1">
      <protection hidden="1"/>
    </xf>
    <xf numFmtId="0" fontId="0" fillId="28" borderId="0" xfId="0" applyFont="1" applyFill="1" applyBorder="1" applyProtection="1">
      <protection hidden="1"/>
    </xf>
    <xf numFmtId="0" fontId="0" fillId="0" borderId="0" xfId="0" applyProtection="1">
      <protection hidden="1"/>
    </xf>
    <xf numFmtId="0" fontId="22" fillId="24" borderId="0" xfId="0" applyNumberFormat="1" applyFont="1" applyFill="1" applyBorder="1" applyAlignment="1" applyProtection="1">
      <alignment vertical="center" wrapText="1" shrinkToFit="1"/>
      <protection hidden="1"/>
    </xf>
    <xf numFmtId="4" fontId="22" fillId="24" borderId="0" xfId="0" applyNumberFormat="1" applyFont="1" applyFill="1" applyBorder="1" applyAlignment="1" applyProtection="1">
      <alignment vertical="center" wrapText="1" shrinkToFit="1"/>
      <protection hidden="1"/>
    </xf>
    <xf numFmtId="0" fontId="52" fillId="24" borderId="0" xfId="0" applyFont="1" applyFill="1" applyProtection="1"/>
    <xf numFmtId="0" fontId="22" fillId="24" borderId="0" xfId="0" applyFont="1" applyFill="1" applyAlignment="1" applyProtection="1">
      <alignment horizontal="right" vertical="center"/>
    </xf>
    <xf numFmtId="0" fontId="22" fillId="24" borderId="0" xfId="0" applyFont="1" applyFill="1" applyAlignment="1" applyProtection="1">
      <alignment vertical="center"/>
    </xf>
    <xf numFmtId="0" fontId="21" fillId="24" borderId="0" xfId="0" applyFont="1" applyFill="1" applyAlignment="1" applyProtection="1">
      <alignment horizontal="right" vertical="top"/>
    </xf>
    <xf numFmtId="2" fontId="21" fillId="24" borderId="0" xfId="0" applyNumberFormat="1" applyFont="1" applyFill="1" applyBorder="1" applyAlignment="1" applyProtection="1">
      <alignment vertical="center"/>
      <protection hidden="1"/>
    </xf>
    <xf numFmtId="2" fontId="24" fillId="24" borderId="0" xfId="0" applyNumberFormat="1" applyFont="1" applyFill="1" applyBorder="1" applyAlignment="1" applyProtection="1">
      <alignment horizontal="center" vertical="center"/>
      <protection hidden="1"/>
    </xf>
    <xf numFmtId="167" fontId="22" fillId="0" borderId="0" xfId="0" applyNumberFormat="1" applyFont="1" applyFill="1" applyBorder="1" applyAlignment="1" applyProtection="1">
      <alignment vertical="center" wrapText="1"/>
      <protection hidden="1"/>
    </xf>
    <xf numFmtId="0" fontId="0" fillId="24" borderId="0" xfId="0" applyFill="1" applyProtection="1">
      <protection hidden="1"/>
    </xf>
    <xf numFmtId="0" fontId="22" fillId="24" borderId="0" xfId="0" applyFont="1" applyFill="1" applyBorder="1" applyAlignment="1" applyProtection="1">
      <alignment horizontal="center" vertical="center"/>
      <protection hidden="1"/>
    </xf>
    <xf numFmtId="0" fontId="21" fillId="24" borderId="0" xfId="0" applyFont="1" applyFill="1" applyAlignment="1" applyProtection="1">
      <alignment horizontal="justify" vertical="center"/>
      <protection hidden="1"/>
    </xf>
    <xf numFmtId="0" fontId="22" fillId="24" borderId="0" xfId="0" applyFont="1" applyFill="1" applyAlignment="1" applyProtection="1">
      <alignment horizontal="left" vertical="center" indent="3"/>
      <protection hidden="1"/>
    </xf>
    <xf numFmtId="0" fontId="21" fillId="24" borderId="0" xfId="0" applyFont="1" applyFill="1" applyAlignment="1" applyProtection="1">
      <alignment horizontal="left" vertical="center"/>
      <protection hidden="1"/>
    </xf>
    <xf numFmtId="0" fontId="21" fillId="24" borderId="0" xfId="0" applyFont="1" applyFill="1" applyAlignment="1" applyProtection="1">
      <alignment horizontal="left" vertical="center" indent="3"/>
      <protection hidden="1"/>
    </xf>
    <xf numFmtId="0" fontId="0" fillId="0" borderId="0" xfId="0" applyFill="1" applyProtection="1">
      <protection hidden="1"/>
    </xf>
    <xf numFmtId="0" fontId="0" fillId="0" borderId="0" xfId="0" applyFill="1"/>
    <xf numFmtId="0" fontId="0" fillId="0" borderId="0" xfId="0" applyFill="1" applyProtection="1"/>
    <xf numFmtId="0" fontId="53" fillId="29" borderId="0" xfId="0" applyFont="1" applyFill="1"/>
    <xf numFmtId="0" fontId="0" fillId="29" borderId="0" xfId="0" applyFill="1"/>
    <xf numFmtId="0" fontId="0" fillId="24" borderId="14" xfId="0" applyFill="1" applyBorder="1"/>
    <xf numFmtId="0" fontId="0" fillId="24" borderId="14" xfId="0" applyFill="1" applyBorder="1" applyAlignment="1">
      <alignment horizontal="right"/>
    </xf>
    <xf numFmtId="0" fontId="0" fillId="25" borderId="0" xfId="0" applyFill="1"/>
    <xf numFmtId="0" fontId="55" fillId="29" borderId="0" xfId="0" applyFont="1" applyFill="1"/>
    <xf numFmtId="0" fontId="0" fillId="24" borderId="14" xfId="0" applyFill="1" applyBorder="1" applyAlignment="1">
      <alignment horizontal="center" vertical="center"/>
    </xf>
    <xf numFmtId="0" fontId="0" fillId="24" borderId="16" xfId="0" applyFill="1" applyBorder="1"/>
    <xf numFmtId="0" fontId="32" fillId="24" borderId="14" xfId="0" applyFont="1" applyFill="1" applyBorder="1" applyAlignment="1">
      <alignment horizontal="center" vertical="center"/>
    </xf>
    <xf numFmtId="0" fontId="32" fillId="24" borderId="14" xfId="0" applyFont="1" applyFill="1" applyBorder="1" applyAlignment="1">
      <alignment horizontal="left" vertical="center"/>
    </xf>
    <xf numFmtId="0" fontId="0" fillId="32" borderId="14" xfId="0" applyFill="1" applyBorder="1"/>
    <xf numFmtId="0" fontId="0" fillId="30" borderId="14" xfId="0" applyFill="1" applyBorder="1"/>
    <xf numFmtId="0" fontId="0" fillId="25" borderId="14" xfId="0" applyFill="1" applyBorder="1"/>
    <xf numFmtId="0" fontId="0" fillId="33" borderId="14" xfId="0" applyFill="1" applyBorder="1" applyAlignment="1">
      <alignment horizontal="center"/>
    </xf>
    <xf numFmtId="0" fontId="0" fillId="31" borderId="14" xfId="0" applyFill="1" applyBorder="1" applyAlignment="1">
      <alignment horizontal="center"/>
    </xf>
    <xf numFmtId="0" fontId="54" fillId="29" borderId="0" xfId="0" applyFont="1" applyFill="1"/>
    <xf numFmtId="0" fontId="54" fillId="24" borderId="0" xfId="0" applyFont="1" applyFill="1"/>
    <xf numFmtId="0" fontId="54" fillId="25" borderId="0" xfId="0" applyFont="1" applyFill="1"/>
    <xf numFmtId="0" fontId="21" fillId="24" borderId="0" xfId="0" applyFont="1" applyFill="1" applyAlignment="1" applyProtection="1">
      <alignment horizontal="justify" vertical="center"/>
      <protection hidden="1"/>
    </xf>
    <xf numFmtId="0" fontId="0" fillId="33" borderId="14" xfId="0" applyFill="1" applyBorder="1" applyAlignment="1">
      <alignment horizontal="center" vertical="center"/>
    </xf>
    <xf numFmtId="0" fontId="0" fillId="31" borderId="14" xfId="0" applyFill="1" applyBorder="1" applyAlignment="1">
      <alignment horizontal="center" vertical="center"/>
    </xf>
    <xf numFmtId="0" fontId="0" fillId="32" borderId="14" xfId="0" applyFill="1" applyBorder="1" applyAlignment="1">
      <alignment horizontal="center" vertical="center"/>
    </xf>
    <xf numFmtId="0" fontId="0" fillId="26" borderId="0" xfId="0" applyFill="1"/>
    <xf numFmtId="0" fontId="0" fillId="30" borderId="0" xfId="0" applyFill="1"/>
    <xf numFmtId="0" fontId="54" fillId="0" borderId="0" xfId="0" applyFont="1" applyFill="1"/>
    <xf numFmtId="0" fontId="0" fillId="24" borderId="17" xfId="0" applyFill="1" applyBorder="1"/>
    <xf numFmtId="0" fontId="0" fillId="24" borderId="18" xfId="0" applyFill="1" applyBorder="1"/>
    <xf numFmtId="0" fontId="0" fillId="24" borderId="19" xfId="0" applyFill="1" applyBorder="1"/>
    <xf numFmtId="0" fontId="0" fillId="24" borderId="20" xfId="0" applyFill="1" applyBorder="1"/>
    <xf numFmtId="0" fontId="0" fillId="24" borderId="21" xfId="0" applyFill="1" applyBorder="1"/>
    <xf numFmtId="0" fontId="0" fillId="24" borderId="22" xfId="0" applyFill="1" applyBorder="1"/>
    <xf numFmtId="0" fontId="0" fillId="24" borderId="23" xfId="0" applyFill="1" applyBorder="1"/>
    <xf numFmtId="0" fontId="0" fillId="24" borderId="24" xfId="0" applyFill="1" applyBorder="1"/>
    <xf numFmtId="0" fontId="0" fillId="24" borderId="0" xfId="0" applyFill="1" applyBorder="1"/>
    <xf numFmtId="0" fontId="56" fillId="33" borderId="15" xfId="0" applyFont="1" applyFill="1" applyBorder="1" applyAlignment="1">
      <alignment horizontal="center" vertical="center"/>
    </xf>
    <xf numFmtId="0" fontId="56" fillId="33" borderId="25" xfId="0" applyFont="1" applyFill="1" applyBorder="1" applyAlignment="1">
      <alignment horizontal="center" vertical="center"/>
    </xf>
    <xf numFmtId="0" fontId="56" fillId="34" borderId="15" xfId="0" applyFont="1" applyFill="1" applyBorder="1" applyAlignment="1">
      <alignment vertical="center"/>
    </xf>
    <xf numFmtId="0" fontId="0" fillId="34" borderId="25" xfId="0" applyFill="1" applyBorder="1"/>
    <xf numFmtId="0" fontId="55" fillId="24" borderId="0" xfId="0" applyFont="1" applyFill="1"/>
    <xf numFmtId="0" fontId="21" fillId="24" borderId="0" xfId="0" applyFont="1" applyFill="1" applyAlignment="1" applyProtection="1">
      <alignment vertical="top" wrapText="1"/>
      <protection hidden="1"/>
    </xf>
    <xf numFmtId="0" fontId="22" fillId="24" borderId="0" xfId="0" applyFont="1" applyFill="1" applyAlignment="1" applyProtection="1">
      <alignment vertical="top" wrapText="1"/>
      <protection hidden="1"/>
    </xf>
    <xf numFmtId="49" fontId="21" fillId="24" borderId="0" xfId="0" applyNumberFormat="1" applyFont="1" applyFill="1" applyAlignment="1" applyProtection="1">
      <alignment horizontal="right" vertical="top"/>
      <protection hidden="1"/>
    </xf>
    <xf numFmtId="49" fontId="22" fillId="24" borderId="0" xfId="0" applyNumberFormat="1" applyFont="1" applyFill="1" applyAlignment="1" applyProtection="1">
      <alignment vertical="center"/>
      <protection hidden="1"/>
    </xf>
    <xf numFmtId="49" fontId="0" fillId="0" borderId="0" xfId="0" applyNumberFormat="1" applyFill="1"/>
    <xf numFmtId="49" fontId="0" fillId="24" borderId="0" xfId="0" applyNumberFormat="1" applyFill="1"/>
    <xf numFmtId="0" fontId="57" fillId="24" borderId="0" xfId="0" applyFont="1" applyFill="1" applyBorder="1" applyAlignment="1" applyProtection="1">
      <alignment horizontal="center" vertical="center"/>
      <protection hidden="1"/>
    </xf>
    <xf numFmtId="0" fontId="59" fillId="24" borderId="0" xfId="0" applyFont="1" applyFill="1" applyBorder="1" applyAlignment="1" applyProtection="1">
      <alignment vertical="center"/>
      <protection hidden="1"/>
    </xf>
    <xf numFmtId="0" fontId="59" fillId="24" borderId="0" xfId="0" applyFont="1" applyFill="1" applyBorder="1" applyAlignment="1" applyProtection="1">
      <alignment horizontal="center" vertical="center"/>
      <protection hidden="1"/>
    </xf>
    <xf numFmtId="0" fontId="22" fillId="24" borderId="0" xfId="0" applyFont="1" applyFill="1" applyBorder="1" applyAlignment="1" applyProtection="1">
      <alignment horizontal="right" vertical="center" wrapText="1"/>
      <protection hidden="1"/>
    </xf>
    <xf numFmtId="0" fontId="59" fillId="24" borderId="0" xfId="0" applyFont="1" applyFill="1" applyBorder="1" applyAlignment="1" applyProtection="1">
      <alignment horizontal="center" vertical="center" wrapText="1"/>
      <protection hidden="1"/>
    </xf>
    <xf numFmtId="0" fontId="59" fillId="24" borderId="0" xfId="0" applyFont="1" applyFill="1" applyAlignment="1" applyProtection="1">
      <alignment horizontal="center" vertical="center" wrapText="1" shrinkToFit="1"/>
      <protection hidden="1"/>
    </xf>
    <xf numFmtId="0" fontId="59" fillId="24" borderId="0" xfId="0" applyFont="1" applyFill="1" applyBorder="1" applyAlignment="1" applyProtection="1">
      <alignment horizontal="center" vertical="center" wrapText="1" shrinkToFit="1"/>
      <protection hidden="1"/>
    </xf>
    <xf numFmtId="0" fontId="59" fillId="24" borderId="0" xfId="0" applyFont="1" applyFill="1" applyAlignment="1" applyProtection="1">
      <alignment horizontal="center" vertical="center" wrapText="1"/>
      <protection hidden="1"/>
    </xf>
    <xf numFmtId="0" fontId="45" fillId="24" borderId="0" xfId="0" applyFont="1" applyFill="1" applyBorder="1" applyAlignment="1" applyProtection="1">
      <protection hidden="1"/>
    </xf>
    <xf numFmtId="1" fontId="22" fillId="24" borderId="26" xfId="44" applyNumberFormat="1" applyFont="1" applyFill="1" applyBorder="1" applyAlignment="1" applyProtection="1">
      <alignment horizontal="center" vertical="center" shrinkToFit="1"/>
      <protection locked="0" hidden="1"/>
    </xf>
    <xf numFmtId="0" fontId="39" fillId="24" borderId="26" xfId="0" applyFont="1" applyFill="1" applyBorder="1" applyAlignment="1" applyProtection="1">
      <alignment horizontal="center" vertical="center" wrapText="1"/>
      <protection locked="0" hidden="1"/>
    </xf>
    <xf numFmtId="4" fontId="39" fillId="24" borderId="26" xfId="0" applyNumberFormat="1" applyFont="1" applyFill="1" applyBorder="1" applyAlignment="1" applyProtection="1">
      <alignment horizontal="center" vertical="center" wrapText="1"/>
      <protection hidden="1"/>
    </xf>
    <xf numFmtId="0" fontId="39" fillId="24" borderId="27" xfId="0" applyFont="1" applyFill="1" applyBorder="1" applyAlignment="1" applyProtection="1">
      <alignment horizontal="center" vertical="center" wrapText="1"/>
      <protection locked="0" hidden="1"/>
    </xf>
    <xf numFmtId="14" fontId="39" fillId="24" borderId="28" xfId="0" applyNumberFormat="1" applyFont="1" applyFill="1" applyBorder="1" applyAlignment="1" applyProtection="1">
      <alignment horizontal="center" vertical="center" wrapText="1"/>
      <protection locked="0" hidden="1"/>
    </xf>
    <xf numFmtId="14" fontId="39" fillId="24" borderId="26" xfId="0" applyNumberFormat="1" applyFont="1" applyFill="1" applyBorder="1" applyAlignment="1" applyProtection="1">
      <alignment horizontal="center" vertical="center" wrapText="1" shrinkToFit="1"/>
      <protection locked="0" hidden="1"/>
    </xf>
    <xf numFmtId="168" fontId="39" fillId="24" borderId="26" xfId="0" applyNumberFormat="1" applyFont="1" applyFill="1" applyBorder="1" applyAlignment="1" applyProtection="1">
      <alignment horizontal="center" vertical="center" wrapText="1"/>
      <protection hidden="1"/>
    </xf>
    <xf numFmtId="0" fontId="39" fillId="24" borderId="26" xfId="0" applyFont="1" applyFill="1" applyBorder="1" applyAlignment="1" applyProtection="1">
      <alignment horizontal="left" vertical="center" wrapText="1"/>
      <protection locked="0" hidden="1"/>
    </xf>
    <xf numFmtId="0" fontId="22" fillId="24" borderId="26" xfId="0" applyFont="1" applyFill="1" applyBorder="1" applyAlignment="1" applyProtection="1">
      <alignment horizontal="center" vertical="center"/>
      <protection locked="0" hidden="1"/>
    </xf>
    <xf numFmtId="2" fontId="22" fillId="24" borderId="26" xfId="44" applyNumberFormat="1" applyFont="1" applyFill="1" applyBorder="1" applyAlignment="1" applyProtection="1">
      <alignment horizontal="center" vertical="center" shrinkToFit="1"/>
      <protection locked="0" hidden="1"/>
    </xf>
    <xf numFmtId="4" fontId="22" fillId="24" borderId="26" xfId="44" applyNumberFormat="1" applyFont="1" applyFill="1" applyBorder="1" applyAlignment="1" applyProtection="1">
      <alignment horizontal="center" vertical="center" shrinkToFit="1"/>
      <protection locked="0" hidden="1"/>
    </xf>
    <xf numFmtId="49" fontId="22" fillId="24" borderId="26" xfId="44" applyNumberFormat="1" applyFont="1" applyFill="1" applyBorder="1" applyAlignment="1" applyProtection="1">
      <alignment horizontal="center" vertical="center" shrinkToFit="1"/>
      <protection locked="0" hidden="1"/>
    </xf>
    <xf numFmtId="0" fontId="21" fillId="24" borderId="0" xfId="0" applyFont="1" applyFill="1" applyAlignment="1" applyProtection="1">
      <alignment horizontal="justify" vertical="center"/>
      <protection hidden="1"/>
    </xf>
    <xf numFmtId="0" fontId="22" fillId="24" borderId="0" xfId="0" applyFont="1" applyFill="1" applyAlignment="1" applyProtection="1">
      <alignment vertical="top"/>
      <protection hidden="1"/>
    </xf>
    <xf numFmtId="0" fontId="26" fillId="24" borderId="0" xfId="0" applyFont="1" applyFill="1" applyBorder="1" applyAlignment="1" applyProtection="1">
      <alignment horizontal="right" vertical="center" wrapText="1"/>
      <protection hidden="1"/>
    </xf>
    <xf numFmtId="0" fontId="61" fillId="24" borderId="0" xfId="0" applyFont="1" applyFill="1" applyAlignment="1" applyProtection="1">
      <alignment vertical="center"/>
      <protection hidden="1"/>
    </xf>
    <xf numFmtId="0" fontId="61" fillId="24" borderId="0" xfId="0" applyFont="1" applyFill="1" applyBorder="1" applyAlignment="1" applyProtection="1">
      <alignment horizontal="right" vertical="center" wrapText="1"/>
      <protection hidden="1"/>
    </xf>
    <xf numFmtId="0" fontId="62" fillId="24" borderId="0" xfId="0" applyFont="1" applyFill="1" applyBorder="1" applyAlignment="1" applyProtection="1">
      <alignment vertical="center" wrapText="1"/>
      <protection hidden="1"/>
    </xf>
    <xf numFmtId="0" fontId="63" fillId="24" borderId="0" xfId="0" applyFont="1" applyFill="1" applyBorder="1" applyAlignment="1" applyProtection="1">
      <alignment horizontal="right" vertical="center" wrapText="1" shrinkToFit="1"/>
      <protection hidden="1"/>
    </xf>
    <xf numFmtId="0" fontId="46" fillId="24" borderId="0" xfId="0" applyFont="1" applyFill="1" applyProtection="1">
      <protection hidden="1"/>
    </xf>
    <xf numFmtId="0" fontId="32" fillId="0" borderId="0" xfId="0" applyFont="1"/>
    <xf numFmtId="9" fontId="32" fillId="0" borderId="0" xfId="0" applyNumberFormat="1" applyFont="1" applyBorder="1" applyAlignment="1">
      <alignment horizontal="left"/>
    </xf>
    <xf numFmtId="1" fontId="61" fillId="24" borderId="27" xfId="0" applyNumberFormat="1" applyFont="1" applyFill="1" applyBorder="1" applyAlignment="1" applyProtection="1">
      <alignment horizontal="center" vertical="center"/>
      <protection hidden="1"/>
    </xf>
    <xf numFmtId="0" fontId="61" fillId="24" borderId="28" xfId="0" applyFont="1" applyFill="1" applyBorder="1" applyAlignment="1" applyProtection="1">
      <alignment horizontal="center" vertical="center"/>
      <protection hidden="1"/>
    </xf>
    <xf numFmtId="0" fontId="61" fillId="24" borderId="0" xfId="0" applyFont="1" applyFill="1" applyBorder="1" applyAlignment="1" applyProtection="1">
      <alignment horizontal="center" vertical="center"/>
      <protection hidden="1"/>
    </xf>
    <xf numFmtId="2" fontId="61" fillId="24" borderId="29" xfId="0" applyNumberFormat="1" applyFont="1" applyFill="1" applyBorder="1" applyAlignment="1" applyProtection="1">
      <alignment horizontal="center" vertical="center"/>
      <protection hidden="1"/>
    </xf>
    <xf numFmtId="49" fontId="61" fillId="24" borderId="26" xfId="44" applyNumberFormat="1" applyFont="1" applyFill="1" applyBorder="1" applyAlignment="1" applyProtection="1">
      <alignment horizontal="center" vertical="center" shrinkToFit="1"/>
      <protection hidden="1"/>
    </xf>
    <xf numFmtId="0" fontId="22" fillId="24" borderId="0" xfId="0" applyFont="1" applyFill="1" applyAlignment="1" applyProtection="1">
      <alignment horizontal="justify" vertical="center"/>
      <protection hidden="1"/>
    </xf>
    <xf numFmtId="4" fontId="39" fillId="24" borderId="28" xfId="0" applyNumberFormat="1" applyFont="1" applyFill="1" applyBorder="1" applyAlignment="1" applyProtection="1">
      <alignment horizontal="center" vertical="center" wrapText="1"/>
      <protection locked="0" hidden="1"/>
    </xf>
    <xf numFmtId="0" fontId="63" fillId="24" borderId="0" xfId="43" applyFont="1" applyFill="1" applyAlignment="1" applyProtection="1">
      <alignment vertical="center"/>
      <protection hidden="1"/>
    </xf>
    <xf numFmtId="0" fontId="63" fillId="24" borderId="0" xfId="43" applyFont="1" applyFill="1" applyBorder="1" applyAlignment="1" applyProtection="1">
      <alignment horizontal="right" vertical="center"/>
      <protection hidden="1"/>
    </xf>
    <xf numFmtId="0" fontId="65" fillId="24" borderId="0" xfId="0" applyFont="1" applyFill="1" applyBorder="1" applyAlignment="1" applyProtection="1">
      <alignment vertical="center"/>
      <protection hidden="1"/>
    </xf>
    <xf numFmtId="0" fontId="66" fillId="24" borderId="0" xfId="0" applyFont="1" applyFill="1" applyBorder="1" applyAlignment="1" applyProtection="1">
      <alignment horizontal="center" vertical="center"/>
      <protection hidden="1"/>
    </xf>
    <xf numFmtId="0" fontId="67" fillId="24" borderId="0" xfId="0" applyNumberFormat="1" applyFont="1" applyFill="1" applyBorder="1" applyAlignment="1" applyProtection="1">
      <alignment horizontal="center" vertical="center" wrapText="1"/>
      <protection hidden="1"/>
    </xf>
    <xf numFmtId="4" fontId="64" fillId="24" borderId="0" xfId="43" applyNumberFormat="1" applyFont="1" applyFill="1" applyBorder="1" applyAlignment="1" applyProtection="1">
      <alignment horizontal="right" vertical="center"/>
      <protection hidden="1"/>
    </xf>
    <xf numFmtId="3" fontId="45" fillId="24" borderId="26" xfId="43" applyNumberFormat="1" applyFont="1" applyFill="1" applyBorder="1" applyAlignment="1" applyProtection="1">
      <alignment horizontal="center" vertical="center"/>
      <protection hidden="1"/>
    </xf>
    <xf numFmtId="0" fontId="22" fillId="24" borderId="0" xfId="0" applyFont="1" applyFill="1" applyBorder="1" applyAlignment="1" applyProtection="1">
      <alignment horizontal="right" vertical="center" wrapText="1"/>
      <protection hidden="1"/>
    </xf>
    <xf numFmtId="0" fontId="59" fillId="24" borderId="0" xfId="0" applyFont="1" applyFill="1" applyBorder="1" applyAlignment="1" applyProtection="1">
      <alignment horizontal="center" vertical="center" wrapText="1" shrinkToFit="1"/>
      <protection hidden="1"/>
    </xf>
    <xf numFmtId="0" fontId="22" fillId="24" borderId="0" xfId="0" applyFont="1" applyFill="1" applyBorder="1" applyAlignment="1" applyProtection="1">
      <alignment horizontal="center" vertical="center" wrapText="1"/>
      <protection hidden="1"/>
    </xf>
    <xf numFmtId="0" fontId="22" fillId="24" borderId="0" xfId="0" applyFont="1" applyFill="1" applyBorder="1" applyAlignment="1" applyProtection="1">
      <alignment horizontal="center" vertical="center"/>
      <protection hidden="1"/>
    </xf>
    <xf numFmtId="0" fontId="21" fillId="24" borderId="0" xfId="0" applyFont="1" applyFill="1" applyAlignment="1" applyProtection="1">
      <alignment horizontal="left" vertical="center"/>
      <protection hidden="1"/>
    </xf>
    <xf numFmtId="0" fontId="22" fillId="24" borderId="0" xfId="0" applyFont="1" applyFill="1" applyAlignment="1" applyProtection="1">
      <alignment horizontal="left" vertical="center"/>
      <protection hidden="1"/>
    </xf>
    <xf numFmtId="0" fontId="22" fillId="24" borderId="0" xfId="0" applyFont="1" applyFill="1" applyBorder="1" applyAlignment="1" applyProtection="1">
      <alignment horizontal="right" vertical="center" wrapText="1"/>
      <protection hidden="1"/>
    </xf>
    <xf numFmtId="0" fontId="22" fillId="24" borderId="37" xfId="0" applyFont="1" applyFill="1" applyBorder="1" applyAlignment="1" applyProtection="1">
      <alignment horizontal="right" vertical="center" wrapText="1"/>
      <protection hidden="1"/>
    </xf>
    <xf numFmtId="0" fontId="22" fillId="24" borderId="27" xfId="0" applyFont="1" applyFill="1" applyBorder="1" applyAlignment="1" applyProtection="1">
      <alignment horizontal="center" vertical="center"/>
      <protection locked="0" hidden="1"/>
    </xf>
    <xf numFmtId="0" fontId="22" fillId="24" borderId="28" xfId="0" applyFont="1" applyFill="1" applyBorder="1" applyAlignment="1" applyProtection="1">
      <alignment horizontal="center" vertical="center"/>
      <protection locked="0" hidden="1"/>
    </xf>
    <xf numFmtId="0" fontId="22" fillId="24" borderId="29" xfId="0" applyFont="1" applyFill="1" applyBorder="1" applyAlignment="1" applyProtection="1">
      <alignment horizontal="center" vertical="center"/>
      <protection locked="0" hidden="1"/>
    </xf>
    <xf numFmtId="0" fontId="22" fillId="24" borderId="0" xfId="0" applyNumberFormat="1" applyFont="1" applyFill="1" applyBorder="1" applyAlignment="1" applyProtection="1">
      <alignment horizontal="right" vertical="center" wrapText="1"/>
      <protection hidden="1"/>
    </xf>
    <xf numFmtId="0" fontId="22" fillId="24" borderId="37" xfId="0" applyNumberFormat="1" applyFont="1" applyFill="1" applyBorder="1" applyAlignment="1" applyProtection="1">
      <alignment horizontal="right" vertical="center" wrapText="1"/>
      <protection hidden="1"/>
    </xf>
    <xf numFmtId="0" fontId="48" fillId="24" borderId="0" xfId="0" applyFont="1" applyFill="1" applyBorder="1" applyAlignment="1" applyProtection="1">
      <alignment horizontal="center"/>
      <protection hidden="1"/>
    </xf>
    <xf numFmtId="0" fontId="38" fillId="24" borderId="0" xfId="0" applyFont="1" applyFill="1" applyBorder="1" applyAlignment="1" applyProtection="1">
      <alignment horizontal="center" vertical="top"/>
      <protection hidden="1"/>
    </xf>
    <xf numFmtId="0" fontId="26" fillId="24" borderId="0" xfId="0" applyFont="1" applyFill="1" applyBorder="1" applyAlignment="1" applyProtection="1">
      <alignment horizontal="justify" vertical="center" wrapText="1"/>
      <protection hidden="1"/>
    </xf>
    <xf numFmtId="14" fontId="21" fillId="24" borderId="31" xfId="0" applyNumberFormat="1" applyFont="1" applyFill="1" applyBorder="1" applyAlignment="1" applyProtection="1">
      <alignment horizontal="center" vertical="center" wrapText="1" shrinkToFit="1"/>
      <protection locked="0" hidden="1"/>
    </xf>
    <xf numFmtId="14" fontId="21" fillId="24" borderId="32" xfId="0" applyNumberFormat="1" applyFont="1" applyFill="1" applyBorder="1" applyAlignment="1" applyProtection="1">
      <alignment horizontal="center" vertical="center" wrapText="1" shrinkToFit="1"/>
      <protection locked="0" hidden="1"/>
    </xf>
    <xf numFmtId="14" fontId="21" fillId="24" borderId="33" xfId="0" applyNumberFormat="1" applyFont="1" applyFill="1" applyBorder="1" applyAlignment="1" applyProtection="1">
      <alignment horizontal="center" vertical="center" wrapText="1" shrinkToFit="1"/>
      <protection locked="0" hidden="1"/>
    </xf>
    <xf numFmtId="14" fontId="21" fillId="24" borderId="34" xfId="0" applyNumberFormat="1" applyFont="1" applyFill="1" applyBorder="1" applyAlignment="1" applyProtection="1">
      <alignment horizontal="center" vertical="center" wrapText="1" shrinkToFit="1"/>
      <protection locked="0" hidden="1"/>
    </xf>
    <xf numFmtId="0" fontId="21" fillId="24" borderId="13" xfId="0" applyFont="1" applyFill="1" applyBorder="1" applyAlignment="1" applyProtection="1">
      <alignment horizontal="right" vertical="center" wrapText="1"/>
      <protection hidden="1"/>
    </xf>
    <xf numFmtId="14" fontId="21" fillId="24" borderId="35" xfId="44" applyNumberFormat="1" applyFont="1" applyFill="1" applyBorder="1" applyAlignment="1" applyProtection="1">
      <alignment horizontal="center" vertical="center" shrinkToFit="1"/>
      <protection locked="0" hidden="1"/>
    </xf>
    <xf numFmtId="14" fontId="21" fillId="24" borderId="36" xfId="44" applyNumberFormat="1" applyFont="1" applyFill="1" applyBorder="1" applyAlignment="1" applyProtection="1">
      <alignment horizontal="center" vertical="center" shrinkToFit="1"/>
      <protection locked="0" hidden="1"/>
    </xf>
    <xf numFmtId="0" fontId="21" fillId="24" borderId="11" xfId="0" applyFont="1" applyFill="1" applyBorder="1" applyAlignment="1" applyProtection="1">
      <alignment horizontal="right" vertical="center"/>
      <protection hidden="1"/>
    </xf>
    <xf numFmtId="1" fontId="22" fillId="24" borderId="27" xfId="44" applyNumberFormat="1" applyFont="1" applyFill="1" applyBorder="1" applyAlignment="1" applyProtection="1">
      <alignment horizontal="center" vertical="center" shrinkToFit="1"/>
      <protection locked="0" hidden="1"/>
    </xf>
    <xf numFmtId="1" fontId="22" fillId="24" borderId="28" xfId="44" applyNumberFormat="1" applyFont="1" applyFill="1" applyBorder="1" applyAlignment="1" applyProtection="1">
      <alignment horizontal="center" vertical="center" shrinkToFit="1"/>
      <protection locked="0" hidden="1"/>
    </xf>
    <xf numFmtId="1" fontId="22" fillId="24" borderId="29" xfId="44" applyNumberFormat="1" applyFont="1" applyFill="1" applyBorder="1" applyAlignment="1" applyProtection="1">
      <alignment horizontal="center" vertical="center" shrinkToFit="1"/>
      <protection locked="0" hidden="1"/>
    </xf>
    <xf numFmtId="0" fontId="22" fillId="24" borderId="27" xfId="0" applyFont="1" applyFill="1" applyBorder="1" applyAlignment="1" applyProtection="1">
      <alignment horizontal="center" vertical="center" wrapText="1"/>
      <protection locked="0" hidden="1"/>
    </xf>
    <xf numFmtId="0" fontId="22" fillId="24" borderId="28" xfId="0" applyFont="1" applyFill="1" applyBorder="1" applyAlignment="1" applyProtection="1">
      <alignment horizontal="center" vertical="center" wrapText="1"/>
      <protection locked="0" hidden="1"/>
    </xf>
    <xf numFmtId="0" fontId="22" fillId="24" borderId="29" xfId="0" applyFont="1" applyFill="1" applyBorder="1" applyAlignment="1" applyProtection="1">
      <alignment horizontal="center" vertical="center" wrapText="1"/>
      <protection locked="0" hidden="1"/>
    </xf>
    <xf numFmtId="0" fontId="58" fillId="24" borderId="0" xfId="43" applyFont="1" applyFill="1" applyBorder="1" applyAlignment="1" applyProtection="1">
      <alignment horizontal="right" vertical="center"/>
      <protection hidden="1"/>
    </xf>
    <xf numFmtId="0" fontId="30" fillId="24" borderId="0" xfId="0" applyFont="1" applyFill="1" applyBorder="1" applyAlignment="1" applyProtection="1">
      <alignment horizontal="justify" vertical="center" wrapText="1"/>
      <protection hidden="1"/>
    </xf>
    <xf numFmtId="0" fontId="26" fillId="24" borderId="0" xfId="0" applyFont="1" applyFill="1" applyAlignment="1" applyProtection="1">
      <alignment horizontal="right" vertical="center" wrapText="1"/>
      <protection hidden="1"/>
    </xf>
    <xf numFmtId="0" fontId="26" fillId="24" borderId="0" xfId="0" applyFont="1" applyFill="1" applyBorder="1" applyAlignment="1" applyProtection="1">
      <alignment horizontal="right" vertical="center" wrapText="1"/>
      <protection hidden="1"/>
    </xf>
    <xf numFmtId="4" fontId="38" fillId="24" borderId="27" xfId="0" applyNumberFormat="1" applyFont="1" applyFill="1" applyBorder="1" applyAlignment="1" applyProtection="1">
      <alignment horizontal="right" vertical="center"/>
    </xf>
    <xf numFmtId="4" fontId="38" fillId="24" borderId="29" xfId="0" applyNumberFormat="1" applyFont="1" applyFill="1" applyBorder="1" applyAlignment="1" applyProtection="1">
      <alignment horizontal="right" vertical="center"/>
    </xf>
    <xf numFmtId="0" fontId="26" fillId="24" borderId="0" xfId="0" applyFont="1" applyFill="1" applyBorder="1" applyAlignment="1" applyProtection="1">
      <alignment horizontal="right" vertical="center"/>
      <protection hidden="1"/>
    </xf>
    <xf numFmtId="2" fontId="39" fillId="24" borderId="28" xfId="0" applyNumberFormat="1" applyFont="1" applyFill="1" applyBorder="1" applyAlignment="1" applyProtection="1">
      <alignment horizontal="center" vertical="center" wrapText="1" shrinkToFit="1"/>
      <protection locked="0" hidden="1"/>
    </xf>
    <xf numFmtId="2" fontId="39" fillId="24" borderId="27" xfId="0" applyNumberFormat="1" applyFont="1" applyFill="1" applyBorder="1" applyAlignment="1" applyProtection="1">
      <alignment horizontal="center" vertical="center" wrapText="1"/>
      <protection locked="0" hidden="1"/>
    </xf>
    <xf numFmtId="2" fontId="39" fillId="24" borderId="29" xfId="0" applyNumberFormat="1" applyFont="1" applyFill="1" applyBorder="1" applyAlignment="1" applyProtection="1">
      <alignment horizontal="center" vertical="center" wrapText="1"/>
      <protection locked="0" hidden="1"/>
    </xf>
    <xf numFmtId="0" fontId="22" fillId="24" borderId="0" xfId="0" applyFont="1" applyFill="1" applyBorder="1" applyAlignment="1" applyProtection="1">
      <alignment horizontal="center" vertical="center" wrapText="1"/>
      <protection hidden="1"/>
    </xf>
    <xf numFmtId="4" fontId="45" fillId="24" borderId="27" xfId="43" applyNumberFormat="1" applyFont="1" applyFill="1" applyBorder="1" applyAlignment="1" applyProtection="1">
      <alignment horizontal="right" vertical="center"/>
      <protection hidden="1"/>
    </xf>
    <xf numFmtId="4" fontId="45" fillId="24" borderId="29" xfId="43" applyNumberFormat="1" applyFont="1" applyFill="1" applyBorder="1" applyAlignment="1" applyProtection="1">
      <alignment horizontal="right" vertical="center"/>
      <protection hidden="1"/>
    </xf>
    <xf numFmtId="49" fontId="21" fillId="24" borderId="30" xfId="0" applyNumberFormat="1" applyFont="1" applyFill="1" applyBorder="1" applyAlignment="1" applyProtection="1">
      <alignment horizontal="center" vertical="center" wrapText="1"/>
      <protection hidden="1"/>
    </xf>
    <xf numFmtId="0" fontId="21" fillId="24" borderId="0" xfId="0" applyFont="1" applyFill="1" applyBorder="1" applyAlignment="1" applyProtection="1">
      <alignment horizontal="center" vertical="center" wrapText="1"/>
      <protection hidden="1"/>
    </xf>
    <xf numFmtId="0" fontId="38" fillId="24" borderId="30" xfId="0" applyNumberFormat="1" applyFont="1" applyFill="1" applyBorder="1" applyAlignment="1" applyProtection="1">
      <alignment horizontal="center" vertical="center" wrapText="1"/>
      <protection hidden="1"/>
    </xf>
    <xf numFmtId="0" fontId="28" fillId="24" borderId="0" xfId="0" applyFont="1" applyFill="1" applyBorder="1" applyAlignment="1" applyProtection="1">
      <alignment horizontal="center" vertical="center" wrapText="1"/>
      <protection hidden="1"/>
    </xf>
    <xf numFmtId="0" fontId="59" fillId="24" borderId="0" xfId="0" applyFont="1" applyFill="1" applyBorder="1" applyAlignment="1" applyProtection="1">
      <alignment horizontal="center" vertical="center" wrapText="1" shrinkToFit="1"/>
      <protection hidden="1"/>
    </xf>
    <xf numFmtId="0" fontId="59" fillId="24" borderId="12" xfId="0" applyFont="1" applyFill="1" applyBorder="1" applyAlignment="1" applyProtection="1">
      <alignment horizontal="center" vertical="center" wrapText="1" shrinkToFit="1"/>
      <protection hidden="1"/>
    </xf>
    <xf numFmtId="166" fontId="60" fillId="24" borderId="28" xfId="44" applyNumberFormat="1" applyFont="1" applyFill="1" applyBorder="1" applyAlignment="1" applyProtection="1">
      <alignment horizontal="center" vertical="center" wrapText="1" shrinkToFit="1"/>
      <protection hidden="1"/>
    </xf>
    <xf numFmtId="4" fontId="39" fillId="24" borderId="28" xfId="0" applyNumberFormat="1" applyFont="1" applyFill="1" applyBorder="1" applyAlignment="1" applyProtection="1">
      <alignment horizontal="center" vertical="center" wrapText="1" shrinkToFit="1"/>
      <protection locked="0" hidden="1"/>
    </xf>
    <xf numFmtId="4" fontId="39" fillId="24" borderId="27" xfId="0" applyNumberFormat="1" applyFont="1" applyFill="1" applyBorder="1" applyAlignment="1" applyProtection="1">
      <alignment horizontal="center" vertical="center" wrapText="1"/>
      <protection locked="0" hidden="1"/>
    </xf>
    <xf numFmtId="4" fontId="39" fillId="24" borderId="29" xfId="0" applyNumberFormat="1" applyFont="1" applyFill="1" applyBorder="1" applyAlignment="1" applyProtection="1">
      <alignment horizontal="center" vertical="center" wrapText="1"/>
      <protection locked="0" hidden="1"/>
    </xf>
    <xf numFmtId="0" fontId="22" fillId="24" borderId="0" xfId="0" applyFont="1" applyFill="1" applyBorder="1" applyAlignment="1" applyProtection="1">
      <alignment horizontal="center" vertical="center"/>
      <protection hidden="1"/>
    </xf>
    <xf numFmtId="14" fontId="22" fillId="24" borderId="0" xfId="0" applyNumberFormat="1" applyFont="1" applyFill="1" applyBorder="1" applyAlignment="1" applyProtection="1">
      <alignment horizontal="center" vertical="center" wrapText="1"/>
      <protection hidden="1"/>
    </xf>
    <xf numFmtId="0" fontId="21" fillId="24" borderId="0" xfId="0" applyFont="1" applyFill="1" applyAlignment="1" applyProtection="1">
      <alignment horizontal="justify" vertical="center"/>
      <protection hidden="1"/>
    </xf>
    <xf numFmtId="0" fontId="30" fillId="24" borderId="0" xfId="0" applyFont="1" applyFill="1" applyAlignment="1" applyProtection="1">
      <alignment horizontal="justify" vertical="top" wrapText="1"/>
      <protection hidden="1"/>
    </xf>
    <xf numFmtId="0" fontId="22" fillId="24" borderId="0" xfId="0" applyFont="1" applyFill="1" applyAlignment="1" applyProtection="1">
      <alignment horizontal="justify" vertical="center"/>
      <protection hidden="1"/>
    </xf>
    <xf numFmtId="0" fontId="21" fillId="24" borderId="0" xfId="0" applyFont="1" applyFill="1" applyAlignment="1" applyProtection="1">
      <alignment horizontal="center" vertical="center"/>
      <protection hidden="1"/>
    </xf>
    <xf numFmtId="0" fontId="21" fillId="24" borderId="0" xfId="0" applyFont="1" applyFill="1" applyAlignment="1" applyProtection="1">
      <alignment horizontal="left" vertical="center" wrapText="1"/>
      <protection hidden="1"/>
    </xf>
    <xf numFmtId="0" fontId="21" fillId="24" borderId="0" xfId="0" applyFont="1" applyFill="1" applyAlignment="1" applyProtection="1">
      <alignment horizontal="left" vertical="center"/>
      <protection hidden="1"/>
    </xf>
    <xf numFmtId="0" fontId="21" fillId="24" borderId="0" xfId="0" applyFont="1" applyFill="1" applyAlignment="1" applyProtection="1">
      <alignment horizontal="justify" vertical="center" wrapText="1"/>
      <protection hidden="1"/>
    </xf>
    <xf numFmtId="0" fontId="21" fillId="24" borderId="0" xfId="0" applyFont="1" applyFill="1" applyAlignment="1" applyProtection="1">
      <alignment horizontal="justify" vertical="top"/>
      <protection hidden="1"/>
    </xf>
    <xf numFmtId="0" fontId="21" fillId="24" borderId="0" xfId="0" applyFont="1" applyFill="1" applyAlignment="1" applyProtection="1">
      <alignment horizontal="center" vertical="center" wrapText="1"/>
      <protection hidden="1"/>
    </xf>
    <xf numFmtId="0" fontId="21" fillId="24" borderId="0" xfId="0" applyFont="1" applyFill="1" applyAlignment="1" applyProtection="1">
      <alignment horizontal="left" vertical="top" wrapText="1"/>
      <protection hidden="1"/>
    </xf>
    <xf numFmtId="0" fontId="21" fillId="24" borderId="0" xfId="0" applyFont="1" applyFill="1" applyAlignment="1" applyProtection="1">
      <alignment horizontal="justify" vertical="top" wrapText="1"/>
      <protection hidden="1"/>
    </xf>
    <xf numFmtId="0" fontId="21" fillId="24" borderId="0" xfId="0" applyFont="1" applyFill="1" applyAlignment="1" applyProtection="1">
      <alignment horizontal="justify" vertical="center"/>
    </xf>
    <xf numFmtId="0" fontId="22" fillId="24" borderId="0" xfId="0" applyFont="1" applyFill="1" applyAlignment="1" applyProtection="1">
      <alignment horizontal="left" vertical="center"/>
      <protection hidden="1"/>
    </xf>
    <xf numFmtId="0" fontId="0" fillId="35" borderId="0" xfId="0" applyFill="1"/>
    <xf numFmtId="0" fontId="0" fillId="35" borderId="0" xfId="0" applyFill="1" applyProtection="1">
      <protection hidden="1"/>
    </xf>
  </cellXfs>
  <cellStyles count="47">
    <cellStyle name="20% - Accent1" xfId="1"/>
    <cellStyle name="20% - Accent2" xfId="2"/>
    <cellStyle name="20% - Accent3" xfId="3"/>
    <cellStyle name="20% - Accent4" xfId="4"/>
    <cellStyle name="20% - Accent5" xfId="5"/>
    <cellStyle name="20% - Accent6" xfId="6"/>
    <cellStyle name="40% - Accent1" xfId="7"/>
    <cellStyle name="40% - Accent2" xfId="8"/>
    <cellStyle name="40% - Accent3" xfId="9"/>
    <cellStyle name="40% - Accent4" xfId="10"/>
    <cellStyle name="40% - Accent5" xfId="11"/>
    <cellStyle name="40% - Accent6" xfId="12"/>
    <cellStyle name="60% - Accent1" xfId="13"/>
    <cellStyle name="60% - Accent2" xfId="14"/>
    <cellStyle name="60% - Accent3" xfId="15"/>
    <cellStyle name="60% - Accent4" xfId="16"/>
    <cellStyle name="60% - Accent5" xfId="17"/>
    <cellStyle name="60% - Accent6" xfId="18"/>
    <cellStyle name="Accent1" xfId="19"/>
    <cellStyle name="Accent2" xfId="20"/>
    <cellStyle name="Accent3" xfId="21"/>
    <cellStyle name="Accent4" xfId="22"/>
    <cellStyle name="Accent5" xfId="23"/>
    <cellStyle name="Accent6" xfId="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0Normal" xfId="34"/>
    <cellStyle name="Input" xfId="35"/>
    <cellStyle name="Linked Cell" xfId="36"/>
    <cellStyle name="Neutral" xfId="37"/>
    <cellStyle name="Note" xfId="38"/>
    <cellStyle name="Output" xfId="39"/>
    <cellStyle name="Title" xfId="40"/>
    <cellStyle name="Total" xfId="41"/>
    <cellStyle name="Warning Text" xfId="42"/>
    <cellStyle name="Обычный" xfId="0" builtinId="0"/>
    <cellStyle name="Обычный 2" xfId="43"/>
    <cellStyle name="Процентный" xfId="44" builtinId="5"/>
    <cellStyle name="Стиль 1" xfId="45"/>
    <cellStyle name="Финансовый 2" xfId="46"/>
  </cellStyles>
  <dxfs count="2">
    <dxf>
      <fill>
        <patternFill>
          <bgColor indexed="9"/>
        </patternFill>
      </fill>
    </dxf>
    <dxf>
      <fill>
        <patternFill>
          <bgColor indexed="9"/>
        </patternFill>
      </fill>
    </dxf>
  </dxfs>
  <tableStyles count="0" defaultTableStyle="TableStyleMedium9" defaultPivotStyle="PivotStyleLight16"/>
  <colors>
    <mruColors>
      <color rgb="FFFF2919"/>
      <color rgb="FFEF312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178782</xdr:colOff>
      <xdr:row>9</xdr:row>
      <xdr:rowOff>21167</xdr:rowOff>
    </xdr:from>
    <xdr:to>
      <xdr:col>15</xdr:col>
      <xdr:colOff>199949</xdr:colOff>
      <xdr:row>20</xdr:row>
      <xdr:rowOff>0</xdr:rowOff>
    </xdr:to>
    <xdr:sp macro="" textlink="">
      <xdr:nvSpPr>
        <xdr:cNvPr id="4" name="Скругленный прямоугольник 3"/>
        <xdr:cNvSpPr/>
      </xdr:nvSpPr>
      <xdr:spPr>
        <a:xfrm>
          <a:off x="178782" y="1735667"/>
          <a:ext cx="16281703" cy="2360083"/>
        </a:xfrm>
        <a:prstGeom prst="roundRect">
          <a:avLst>
            <a:gd name="adj" fmla="val 9627"/>
          </a:avLst>
        </a:prstGeom>
        <a:noFill/>
        <a:ln>
          <a:solidFill>
            <a:srgbClr val="FF291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0</xdr:col>
      <xdr:colOff>176892</xdr:colOff>
      <xdr:row>9</xdr:row>
      <xdr:rowOff>21167</xdr:rowOff>
    </xdr:from>
    <xdr:to>
      <xdr:col>15</xdr:col>
      <xdr:colOff>198059</xdr:colOff>
      <xdr:row>9</xdr:row>
      <xdr:rowOff>364067</xdr:rowOff>
    </xdr:to>
    <xdr:sp macro="" textlink="">
      <xdr:nvSpPr>
        <xdr:cNvPr id="5" name="Скругленный прямоугольник 4"/>
        <xdr:cNvSpPr/>
      </xdr:nvSpPr>
      <xdr:spPr>
        <a:xfrm>
          <a:off x="176892" y="1490738"/>
          <a:ext cx="16295310" cy="342900"/>
        </a:xfrm>
        <a:prstGeom prst="roundRect">
          <a:avLst>
            <a:gd name="adj" fmla="val 42496"/>
          </a:avLst>
        </a:prstGeom>
        <a:solidFill>
          <a:srgbClr val="FF2919"/>
        </a:solidFill>
        <a:ln>
          <a:solidFill>
            <a:srgbClr val="FF291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Шаг 1. Общие сведения</a:t>
          </a:r>
        </a:p>
      </xdr:txBody>
    </xdr:sp>
    <xdr:clientData/>
  </xdr:twoCellAnchor>
  <xdr:twoCellAnchor>
    <xdr:from>
      <xdr:col>16</xdr:col>
      <xdr:colOff>525236</xdr:colOff>
      <xdr:row>9</xdr:row>
      <xdr:rowOff>201757</xdr:rowOff>
    </xdr:from>
    <xdr:to>
      <xdr:col>16</xdr:col>
      <xdr:colOff>2419353</xdr:colOff>
      <xdr:row>11</xdr:row>
      <xdr:rowOff>271030</xdr:rowOff>
    </xdr:to>
    <xdr:sp macro="Макрос2" textlink="">
      <xdr:nvSpPr>
        <xdr:cNvPr id="68" name="ДБЛ"/>
        <xdr:cNvSpPr/>
      </xdr:nvSpPr>
      <xdr:spPr>
        <a:xfrm>
          <a:off x="17150691" y="1916257"/>
          <a:ext cx="1894117" cy="571500"/>
        </a:xfrm>
        <a:prstGeom prst="roundRect">
          <a:avLst>
            <a:gd name="adj" fmla="val 18687"/>
          </a:avLst>
        </a:prstGeom>
        <a:solidFill>
          <a:srgbClr val="FF2919"/>
        </a:solidFill>
        <a:ln w="12700" cap="flat" cmpd="sng" algn="ctr">
          <a:solidFill>
            <a:srgbClr val="EF3124"/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4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Добавить предмет лизинга</a:t>
          </a:r>
        </a:p>
      </xdr:txBody>
    </xdr:sp>
    <xdr:clientData/>
  </xdr:twoCellAnchor>
  <xdr:twoCellAnchor>
    <xdr:from>
      <xdr:col>16</xdr:col>
      <xdr:colOff>525236</xdr:colOff>
      <xdr:row>13</xdr:row>
      <xdr:rowOff>78148</xdr:rowOff>
    </xdr:from>
    <xdr:to>
      <xdr:col>16</xdr:col>
      <xdr:colOff>2419353</xdr:colOff>
      <xdr:row>15</xdr:row>
      <xdr:rowOff>182057</xdr:rowOff>
    </xdr:to>
    <xdr:sp macro="Макрос1" textlink="">
      <xdr:nvSpPr>
        <xdr:cNvPr id="69" name="СФОРМ"/>
        <xdr:cNvSpPr/>
      </xdr:nvSpPr>
      <xdr:spPr>
        <a:xfrm>
          <a:off x="17150691" y="2727830"/>
          <a:ext cx="1894117" cy="571500"/>
        </a:xfrm>
        <a:prstGeom prst="roundRect">
          <a:avLst>
            <a:gd name="adj" fmla="val 18687"/>
          </a:avLst>
        </a:prstGeom>
        <a:solidFill>
          <a:srgbClr val="FF2919"/>
        </a:solidFill>
        <a:ln w="12700" cap="flat" cmpd="sng" algn="ctr">
          <a:solidFill>
            <a:srgbClr val="EF3124"/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4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Сформировать список</a:t>
          </a:r>
        </a:p>
      </xdr:txBody>
    </xdr:sp>
    <xdr:clientData/>
  </xdr:twoCellAnchor>
  <xdr:twoCellAnchor editAs="oneCell">
    <xdr:from>
      <xdr:col>0</xdr:col>
      <xdr:colOff>231323</xdr:colOff>
      <xdr:row>0</xdr:row>
      <xdr:rowOff>244930</xdr:rowOff>
    </xdr:from>
    <xdr:to>
      <xdr:col>2</xdr:col>
      <xdr:colOff>1319894</xdr:colOff>
      <xdr:row>2</xdr:row>
      <xdr:rowOff>63954</xdr:rowOff>
    </xdr:to>
    <xdr:pic>
      <xdr:nvPicPr>
        <xdr:cNvPr id="8" name="Рисунок 7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323" y="244930"/>
          <a:ext cx="4082142" cy="13022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176892</xdr:colOff>
      <xdr:row>20</xdr:row>
      <xdr:rowOff>35802</xdr:rowOff>
    </xdr:from>
    <xdr:to>
      <xdr:col>15</xdr:col>
      <xdr:colOff>198063</xdr:colOff>
      <xdr:row>30</xdr:row>
      <xdr:rowOff>0</xdr:rowOff>
    </xdr:to>
    <xdr:sp macro="" textlink="">
      <xdr:nvSpPr>
        <xdr:cNvPr id="7" name="Скругленный прямоугольник 6"/>
        <xdr:cNvSpPr/>
      </xdr:nvSpPr>
      <xdr:spPr>
        <a:xfrm>
          <a:off x="176892" y="1226427"/>
          <a:ext cx="16223196" cy="1745373"/>
        </a:xfrm>
        <a:prstGeom prst="roundRect">
          <a:avLst>
            <a:gd name="adj" fmla="val 10340"/>
          </a:avLst>
        </a:prstGeom>
        <a:noFill/>
        <a:ln>
          <a:solidFill>
            <a:srgbClr val="FF291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0</xdr:col>
      <xdr:colOff>172814</xdr:colOff>
      <xdr:row>20</xdr:row>
      <xdr:rowOff>35802</xdr:rowOff>
    </xdr:from>
    <xdr:to>
      <xdr:col>15</xdr:col>
      <xdr:colOff>198063</xdr:colOff>
      <xdr:row>20</xdr:row>
      <xdr:rowOff>377802</xdr:rowOff>
    </xdr:to>
    <xdr:sp macro="" textlink="">
      <xdr:nvSpPr>
        <xdr:cNvPr id="9" name="Скругленный прямоугольник 8"/>
        <xdr:cNvSpPr/>
      </xdr:nvSpPr>
      <xdr:spPr>
        <a:xfrm>
          <a:off x="172814" y="1226427"/>
          <a:ext cx="16227274" cy="342000"/>
        </a:xfrm>
        <a:prstGeom prst="roundRect">
          <a:avLst>
            <a:gd name="adj" fmla="val 42496"/>
          </a:avLst>
        </a:prstGeom>
        <a:solidFill>
          <a:srgbClr val="FF2919"/>
        </a:solidFill>
        <a:ln>
          <a:solidFill>
            <a:srgbClr val="FF291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200" b="1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Шаг </a:t>
          </a:r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2</a:t>
          </a:r>
          <a:r>
            <a:rPr kumimoji="0" lang="ru-RU" sz="1200" b="1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. Основные контрагенты</a:t>
          </a:r>
        </a:p>
      </xdr:txBody>
    </xdr:sp>
    <xdr:clientData/>
  </xdr:twoCellAnchor>
  <xdr:twoCellAnchor>
    <xdr:from>
      <xdr:col>0</xdr:col>
      <xdr:colOff>176892</xdr:colOff>
      <xdr:row>31</xdr:row>
      <xdr:rowOff>25400</xdr:rowOff>
    </xdr:from>
    <xdr:to>
      <xdr:col>15</xdr:col>
      <xdr:colOff>198059</xdr:colOff>
      <xdr:row>45</xdr:row>
      <xdr:rowOff>0</xdr:rowOff>
    </xdr:to>
    <xdr:sp macro="" textlink="">
      <xdr:nvSpPr>
        <xdr:cNvPr id="10" name="Скругленный прямоугольник 9"/>
        <xdr:cNvSpPr/>
      </xdr:nvSpPr>
      <xdr:spPr>
        <a:xfrm>
          <a:off x="176892" y="3187700"/>
          <a:ext cx="16223192" cy="2536825"/>
        </a:xfrm>
        <a:prstGeom prst="roundRect">
          <a:avLst>
            <a:gd name="adj" fmla="val 7613"/>
          </a:avLst>
        </a:prstGeom>
        <a:noFill/>
        <a:ln>
          <a:solidFill>
            <a:srgbClr val="FF291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0</xdr:col>
      <xdr:colOff>176892</xdr:colOff>
      <xdr:row>31</xdr:row>
      <xdr:rowOff>16936</xdr:rowOff>
    </xdr:from>
    <xdr:to>
      <xdr:col>15</xdr:col>
      <xdr:colOff>198059</xdr:colOff>
      <xdr:row>31</xdr:row>
      <xdr:rowOff>358936</xdr:rowOff>
    </xdr:to>
    <xdr:sp macro="" textlink="">
      <xdr:nvSpPr>
        <xdr:cNvPr id="11" name="Скругленный прямоугольник 10"/>
        <xdr:cNvSpPr/>
      </xdr:nvSpPr>
      <xdr:spPr>
        <a:xfrm>
          <a:off x="176892" y="3179236"/>
          <a:ext cx="16223192" cy="342000"/>
        </a:xfrm>
        <a:prstGeom prst="roundRect">
          <a:avLst>
            <a:gd name="adj" fmla="val 42496"/>
          </a:avLst>
        </a:prstGeom>
        <a:solidFill>
          <a:srgbClr val="FF2919"/>
        </a:solidFill>
        <a:ln>
          <a:solidFill>
            <a:srgbClr val="FF291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Шаг </a:t>
          </a:r>
          <a:r>
            <a:rPr lang="en-US" sz="1200" b="1">
              <a:latin typeface="Arial" panose="020B0604020202020204" pitchFamily="34" charset="0"/>
              <a:cs typeface="Arial" panose="020B0604020202020204" pitchFamily="34" charset="0"/>
            </a:rPr>
            <a:t>3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 Кредитная история</a:t>
          </a:r>
        </a:p>
      </xdr:txBody>
    </xdr:sp>
    <xdr:clientData/>
  </xdr:twoCellAnchor>
  <xdr:twoCellAnchor>
    <xdr:from>
      <xdr:col>16</xdr:col>
      <xdr:colOff>525236</xdr:colOff>
      <xdr:row>34</xdr:row>
      <xdr:rowOff>23812</xdr:rowOff>
    </xdr:from>
    <xdr:to>
      <xdr:col>16</xdr:col>
      <xdr:colOff>2419353</xdr:colOff>
      <xdr:row>38</xdr:row>
      <xdr:rowOff>42862</xdr:rowOff>
    </xdr:to>
    <xdr:sp macro="Макрос3" textlink="">
      <xdr:nvSpPr>
        <xdr:cNvPr id="12" name="ДП"/>
        <xdr:cNvSpPr/>
      </xdr:nvSpPr>
      <xdr:spPr>
        <a:xfrm>
          <a:off x="17108261" y="8443912"/>
          <a:ext cx="1894117" cy="571500"/>
        </a:xfrm>
        <a:prstGeom prst="roundRect">
          <a:avLst>
            <a:gd name="adj" fmla="val 18687"/>
          </a:avLst>
        </a:prstGeom>
        <a:solidFill>
          <a:srgbClr val="FF2919"/>
        </a:solidFill>
        <a:ln w="12700" cap="flat" cmpd="sng" algn="ctr">
          <a:solidFill>
            <a:srgbClr val="EF3124"/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4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Добавить строку</a:t>
          </a:r>
        </a:p>
      </xdr:txBody>
    </xdr:sp>
    <xdr:clientData/>
  </xdr:twoCellAnchor>
  <xdr:twoCellAnchor>
    <xdr:from>
      <xdr:col>0</xdr:col>
      <xdr:colOff>176894</xdr:colOff>
      <xdr:row>46</xdr:row>
      <xdr:rowOff>54429</xdr:rowOff>
    </xdr:from>
    <xdr:to>
      <xdr:col>7</xdr:col>
      <xdr:colOff>176878</xdr:colOff>
      <xdr:row>59</xdr:row>
      <xdr:rowOff>14509</xdr:rowOff>
    </xdr:to>
    <xdr:sp macro="" textlink="">
      <xdr:nvSpPr>
        <xdr:cNvPr id="13" name="Скругленный прямоугольник 12"/>
        <xdr:cNvSpPr/>
      </xdr:nvSpPr>
      <xdr:spPr>
        <a:xfrm>
          <a:off x="176894" y="959304"/>
          <a:ext cx="7820009" cy="2808055"/>
        </a:xfrm>
        <a:prstGeom prst="roundRect">
          <a:avLst>
            <a:gd name="adj" fmla="val 5824"/>
          </a:avLst>
        </a:prstGeom>
        <a:noFill/>
        <a:ln>
          <a:solidFill>
            <a:srgbClr val="FF291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0</xdr:col>
      <xdr:colOff>176891</xdr:colOff>
      <xdr:row>46</xdr:row>
      <xdr:rowOff>31199</xdr:rowOff>
    </xdr:from>
    <xdr:to>
      <xdr:col>7</xdr:col>
      <xdr:colOff>176876</xdr:colOff>
      <xdr:row>47</xdr:row>
      <xdr:rowOff>149677</xdr:rowOff>
    </xdr:to>
    <xdr:sp macro="" textlink="">
      <xdr:nvSpPr>
        <xdr:cNvPr id="14" name="Скругленный прямоугольник 13"/>
        <xdr:cNvSpPr/>
      </xdr:nvSpPr>
      <xdr:spPr>
        <a:xfrm>
          <a:off x="176891" y="936074"/>
          <a:ext cx="7820010" cy="337553"/>
        </a:xfrm>
        <a:prstGeom prst="roundRect">
          <a:avLst>
            <a:gd name="adj" fmla="val 42496"/>
          </a:avLst>
        </a:prstGeom>
        <a:solidFill>
          <a:srgbClr val="FF2919"/>
        </a:solidFill>
        <a:ln>
          <a:solidFill>
            <a:srgbClr val="FF291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Учредительные  документы</a:t>
          </a:r>
        </a:p>
      </xdr:txBody>
    </xdr:sp>
    <xdr:clientData/>
  </xdr:twoCellAnchor>
  <xdr:twoCellAnchor>
    <xdr:from>
      <xdr:col>8</xdr:col>
      <xdr:colOff>40822</xdr:colOff>
      <xdr:row>46</xdr:row>
      <xdr:rowOff>30919</xdr:rowOff>
    </xdr:from>
    <xdr:to>
      <xdr:col>15</xdr:col>
      <xdr:colOff>203200</xdr:colOff>
      <xdr:row>47</xdr:row>
      <xdr:rowOff>147782</xdr:rowOff>
    </xdr:to>
    <xdr:sp macro="" textlink="">
      <xdr:nvSpPr>
        <xdr:cNvPr id="15" name="Скругленный прямоугольник 14"/>
        <xdr:cNvSpPr/>
      </xdr:nvSpPr>
      <xdr:spPr>
        <a:xfrm>
          <a:off x="8241847" y="935794"/>
          <a:ext cx="8191953" cy="335938"/>
        </a:xfrm>
        <a:prstGeom prst="roundRect">
          <a:avLst>
            <a:gd name="adj" fmla="val 42496"/>
          </a:avLst>
        </a:prstGeom>
        <a:solidFill>
          <a:srgbClr val="FF2919"/>
        </a:solidFill>
        <a:ln>
          <a:solidFill>
            <a:srgbClr val="FF291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Финансовые документы</a:t>
          </a:r>
        </a:p>
      </xdr:txBody>
    </xdr:sp>
    <xdr:clientData/>
  </xdr:twoCellAnchor>
  <xdr:twoCellAnchor>
    <xdr:from>
      <xdr:col>8</xdr:col>
      <xdr:colOff>40823</xdr:colOff>
      <xdr:row>46</xdr:row>
      <xdr:rowOff>49893</xdr:rowOff>
    </xdr:from>
    <xdr:to>
      <xdr:col>15</xdr:col>
      <xdr:colOff>203200</xdr:colOff>
      <xdr:row>70</xdr:row>
      <xdr:rowOff>17317</xdr:rowOff>
    </xdr:to>
    <xdr:sp macro="" textlink="">
      <xdr:nvSpPr>
        <xdr:cNvPr id="16" name="Скругленный прямоугольник 15"/>
        <xdr:cNvSpPr/>
      </xdr:nvSpPr>
      <xdr:spPr>
        <a:xfrm>
          <a:off x="8241848" y="954768"/>
          <a:ext cx="8191952" cy="5206174"/>
        </a:xfrm>
        <a:prstGeom prst="roundRect">
          <a:avLst>
            <a:gd name="adj" fmla="val 2751"/>
          </a:avLst>
        </a:prstGeom>
        <a:noFill/>
        <a:ln>
          <a:solidFill>
            <a:srgbClr val="FF291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0</xdr:col>
      <xdr:colOff>176892</xdr:colOff>
      <xdr:row>60</xdr:row>
      <xdr:rowOff>61040</xdr:rowOff>
    </xdr:from>
    <xdr:to>
      <xdr:col>7</xdr:col>
      <xdr:colOff>176892</xdr:colOff>
      <xdr:row>70</xdr:row>
      <xdr:rowOff>29415</xdr:rowOff>
    </xdr:to>
    <xdr:sp macro="" textlink="">
      <xdr:nvSpPr>
        <xdr:cNvPr id="17" name="Скругленный прямоугольник 16"/>
        <xdr:cNvSpPr/>
      </xdr:nvSpPr>
      <xdr:spPr>
        <a:xfrm>
          <a:off x="176892" y="4032965"/>
          <a:ext cx="7820025" cy="2140075"/>
        </a:xfrm>
        <a:prstGeom prst="roundRect">
          <a:avLst>
            <a:gd name="adj" fmla="val 7748"/>
          </a:avLst>
        </a:prstGeom>
        <a:noFill/>
        <a:ln>
          <a:solidFill>
            <a:srgbClr val="FF291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0</xdr:col>
      <xdr:colOff>176891</xdr:colOff>
      <xdr:row>60</xdr:row>
      <xdr:rowOff>35062</xdr:rowOff>
    </xdr:from>
    <xdr:to>
      <xdr:col>7</xdr:col>
      <xdr:colOff>176892</xdr:colOff>
      <xdr:row>61</xdr:row>
      <xdr:rowOff>153541</xdr:rowOff>
    </xdr:to>
    <xdr:sp macro="" textlink="">
      <xdr:nvSpPr>
        <xdr:cNvPr id="18" name="Скругленный прямоугольник 17"/>
        <xdr:cNvSpPr/>
      </xdr:nvSpPr>
      <xdr:spPr>
        <a:xfrm>
          <a:off x="176891" y="4006987"/>
          <a:ext cx="7820026" cy="337554"/>
        </a:xfrm>
        <a:prstGeom prst="roundRect">
          <a:avLst>
            <a:gd name="adj" fmla="val 42496"/>
          </a:avLst>
        </a:prstGeom>
        <a:solidFill>
          <a:srgbClr val="FF2919"/>
        </a:solidFill>
        <a:ln>
          <a:solidFill>
            <a:srgbClr val="FF291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Все запрашиваемые документы предоставляются в обязательном порядке, если не указано иное</a:t>
          </a:r>
        </a:p>
      </xdr:txBody>
    </xdr:sp>
    <xdr:clientData/>
  </xdr:twoCellAnchor>
  <xdr:twoCellAnchor>
    <xdr:from>
      <xdr:col>16</xdr:col>
      <xdr:colOff>534761</xdr:colOff>
      <xdr:row>71</xdr:row>
      <xdr:rowOff>122463</xdr:rowOff>
    </xdr:from>
    <xdr:to>
      <xdr:col>16</xdr:col>
      <xdr:colOff>3687536</xdr:colOff>
      <xdr:row>75</xdr:row>
      <xdr:rowOff>58963</xdr:rowOff>
    </xdr:to>
    <xdr:sp macro="SaveDocument" textlink="">
      <xdr:nvSpPr>
        <xdr:cNvPr id="19" name="Savefile"/>
        <xdr:cNvSpPr/>
      </xdr:nvSpPr>
      <xdr:spPr>
        <a:xfrm>
          <a:off x="17117786" y="15543438"/>
          <a:ext cx="3152775" cy="698500"/>
        </a:xfrm>
        <a:prstGeom prst="roundRect">
          <a:avLst/>
        </a:prstGeom>
        <a:solidFill>
          <a:srgbClr val="FF291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ctr"/>
        <a:lstStyle/>
        <a:p>
          <a:pPr marL="0" indent="0" algn="ctr"/>
          <a:r>
            <a:rPr lang="ru-RU" sz="12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Файл сохранится в папку </a:t>
          </a:r>
          <a:r>
            <a:rPr lang="en-US" sz="12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C:\Leasing</a:t>
          </a:r>
        </a:p>
        <a:p>
          <a:pPr marL="0" indent="0" algn="ctr"/>
          <a:r>
            <a:rPr lang="ru-RU" sz="12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При отсутствии папки она будет</a:t>
          </a:r>
        </a:p>
        <a:p>
          <a:pPr marL="0" indent="0" algn="ctr"/>
          <a:r>
            <a:rPr lang="ru-RU" sz="12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создана автоматически</a:t>
          </a:r>
        </a:p>
      </xdr:txBody>
    </xdr:sp>
    <xdr:clientData/>
  </xdr:twoCellAnchor>
  <xdr:twoCellAnchor>
    <xdr:from>
      <xdr:col>16</xdr:col>
      <xdr:colOff>534761</xdr:colOff>
      <xdr:row>76</xdr:row>
      <xdr:rowOff>96611</xdr:rowOff>
    </xdr:from>
    <xdr:to>
      <xdr:col>16</xdr:col>
      <xdr:colOff>2428878</xdr:colOff>
      <xdr:row>79</xdr:row>
      <xdr:rowOff>77561</xdr:rowOff>
    </xdr:to>
    <xdr:sp macro="PrintDocList" textlink="">
      <xdr:nvSpPr>
        <xdr:cNvPr id="20" name="Print"/>
        <xdr:cNvSpPr/>
      </xdr:nvSpPr>
      <xdr:spPr>
        <a:xfrm>
          <a:off x="17117786" y="16717736"/>
          <a:ext cx="1894117" cy="571500"/>
        </a:xfrm>
        <a:prstGeom prst="roundRect">
          <a:avLst>
            <a:gd name="adj" fmla="val 18687"/>
          </a:avLst>
        </a:prstGeom>
        <a:solidFill>
          <a:srgbClr val="FF2919"/>
        </a:solidFill>
        <a:ln w="12700" cap="flat" cmpd="sng" algn="ctr">
          <a:solidFill>
            <a:srgbClr val="EF3124"/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4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Распечатать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176892</xdr:colOff>
      <xdr:row>6</xdr:row>
      <xdr:rowOff>35802</xdr:rowOff>
    </xdr:from>
    <xdr:to>
      <xdr:col>15</xdr:col>
      <xdr:colOff>198063</xdr:colOff>
      <xdr:row>16</xdr:row>
      <xdr:rowOff>0</xdr:rowOff>
    </xdr:to>
    <xdr:sp macro="" textlink="">
      <xdr:nvSpPr>
        <xdr:cNvPr id="43" name="Скругленный прямоугольник 42"/>
        <xdr:cNvSpPr/>
      </xdr:nvSpPr>
      <xdr:spPr>
        <a:xfrm>
          <a:off x="176892" y="4293477"/>
          <a:ext cx="16251771" cy="1745373"/>
        </a:xfrm>
        <a:prstGeom prst="roundRect">
          <a:avLst>
            <a:gd name="adj" fmla="val 10340"/>
          </a:avLst>
        </a:prstGeom>
        <a:noFill/>
        <a:ln>
          <a:solidFill>
            <a:srgbClr val="FF291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0</xdr:col>
      <xdr:colOff>172814</xdr:colOff>
      <xdr:row>6</xdr:row>
      <xdr:rowOff>35802</xdr:rowOff>
    </xdr:from>
    <xdr:to>
      <xdr:col>15</xdr:col>
      <xdr:colOff>198063</xdr:colOff>
      <xdr:row>6</xdr:row>
      <xdr:rowOff>377802</xdr:rowOff>
    </xdr:to>
    <xdr:sp macro="" textlink="">
      <xdr:nvSpPr>
        <xdr:cNvPr id="44" name="Скругленный прямоугольник 43"/>
        <xdr:cNvSpPr/>
      </xdr:nvSpPr>
      <xdr:spPr>
        <a:xfrm>
          <a:off x="172814" y="4293477"/>
          <a:ext cx="16255849" cy="342000"/>
        </a:xfrm>
        <a:prstGeom prst="roundRect">
          <a:avLst>
            <a:gd name="adj" fmla="val 42496"/>
          </a:avLst>
        </a:prstGeom>
        <a:solidFill>
          <a:srgbClr val="FF2919"/>
        </a:solidFill>
        <a:ln>
          <a:solidFill>
            <a:srgbClr val="FF291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200" b="1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Шаг </a:t>
          </a:r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2</a:t>
          </a:r>
          <a:r>
            <a:rPr kumimoji="0" lang="ru-RU" sz="1200" b="1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. Основные контрагенты</a:t>
          </a:r>
        </a:p>
      </xdr:txBody>
    </xdr:sp>
    <xdr:clientData/>
  </xdr:twoCellAnchor>
  <xdr:twoCellAnchor>
    <xdr:from>
      <xdr:col>0</xdr:col>
      <xdr:colOff>176892</xdr:colOff>
      <xdr:row>17</xdr:row>
      <xdr:rowOff>25400</xdr:rowOff>
    </xdr:from>
    <xdr:to>
      <xdr:col>15</xdr:col>
      <xdr:colOff>198059</xdr:colOff>
      <xdr:row>31</xdr:row>
      <xdr:rowOff>0</xdr:rowOff>
    </xdr:to>
    <xdr:sp macro="" textlink="">
      <xdr:nvSpPr>
        <xdr:cNvPr id="51" name="Скругленный прямоугольник 50"/>
        <xdr:cNvSpPr/>
      </xdr:nvSpPr>
      <xdr:spPr>
        <a:xfrm>
          <a:off x="176892" y="6254750"/>
          <a:ext cx="16251767" cy="2536825"/>
        </a:xfrm>
        <a:prstGeom prst="roundRect">
          <a:avLst>
            <a:gd name="adj" fmla="val 7613"/>
          </a:avLst>
        </a:prstGeom>
        <a:noFill/>
        <a:ln>
          <a:solidFill>
            <a:srgbClr val="FF291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0</xdr:col>
      <xdr:colOff>176892</xdr:colOff>
      <xdr:row>17</xdr:row>
      <xdr:rowOff>16936</xdr:rowOff>
    </xdr:from>
    <xdr:to>
      <xdr:col>15</xdr:col>
      <xdr:colOff>198059</xdr:colOff>
      <xdr:row>17</xdr:row>
      <xdr:rowOff>358936</xdr:rowOff>
    </xdr:to>
    <xdr:sp macro="" textlink="">
      <xdr:nvSpPr>
        <xdr:cNvPr id="52" name="Скругленный прямоугольник 51"/>
        <xdr:cNvSpPr/>
      </xdr:nvSpPr>
      <xdr:spPr>
        <a:xfrm>
          <a:off x="176892" y="6246286"/>
          <a:ext cx="16251767" cy="342000"/>
        </a:xfrm>
        <a:prstGeom prst="roundRect">
          <a:avLst>
            <a:gd name="adj" fmla="val 42496"/>
          </a:avLst>
        </a:prstGeom>
        <a:solidFill>
          <a:srgbClr val="FF2919"/>
        </a:solidFill>
        <a:ln>
          <a:solidFill>
            <a:srgbClr val="FF291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Шаг </a:t>
          </a:r>
          <a:r>
            <a:rPr lang="en-US" sz="1200" b="1">
              <a:latin typeface="Arial" panose="020B0604020202020204" pitchFamily="34" charset="0"/>
              <a:cs typeface="Arial" panose="020B0604020202020204" pitchFamily="34" charset="0"/>
            </a:rPr>
            <a:t>3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 Кредитная история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525236</xdr:colOff>
      <xdr:row>11</xdr:row>
      <xdr:rowOff>26194</xdr:rowOff>
    </xdr:from>
    <xdr:to>
      <xdr:col>0</xdr:col>
      <xdr:colOff>2419353</xdr:colOff>
      <xdr:row>14</xdr:row>
      <xdr:rowOff>30694</xdr:rowOff>
    </xdr:to>
    <xdr:sp macro="" textlink="">
      <xdr:nvSpPr>
        <xdr:cNvPr id="12" name="СФОРМ"/>
        <xdr:cNvSpPr/>
      </xdr:nvSpPr>
      <xdr:spPr>
        <a:xfrm>
          <a:off x="525236" y="2271373"/>
          <a:ext cx="1894117" cy="576000"/>
        </a:xfrm>
        <a:prstGeom prst="roundRect">
          <a:avLst>
            <a:gd name="adj" fmla="val 18687"/>
          </a:avLst>
        </a:prstGeom>
        <a:solidFill>
          <a:srgbClr val="FF2919"/>
        </a:solidFill>
        <a:ln w="12700" cap="flat" cmpd="sng" algn="ctr">
          <a:solidFill>
            <a:srgbClr val="EF3124"/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4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Сформировать список</a:t>
          </a:r>
        </a:p>
      </xdr:txBody>
    </xdr:sp>
    <xdr:clientData/>
  </xdr:twoCellAnchor>
  <xdr:twoCellAnchor>
    <xdr:from>
      <xdr:col>0</xdr:col>
      <xdr:colOff>525236</xdr:colOff>
      <xdr:row>6</xdr:row>
      <xdr:rowOff>28575</xdr:rowOff>
    </xdr:from>
    <xdr:to>
      <xdr:col>0</xdr:col>
      <xdr:colOff>2419353</xdr:colOff>
      <xdr:row>8</xdr:row>
      <xdr:rowOff>196361</xdr:rowOff>
    </xdr:to>
    <xdr:sp macro="" textlink="">
      <xdr:nvSpPr>
        <xdr:cNvPr id="13" name="ДБЛ"/>
        <xdr:cNvSpPr/>
      </xdr:nvSpPr>
      <xdr:spPr>
        <a:xfrm>
          <a:off x="525236" y="1253218"/>
          <a:ext cx="1894117" cy="576000"/>
        </a:xfrm>
        <a:prstGeom prst="roundRect">
          <a:avLst>
            <a:gd name="adj" fmla="val 18687"/>
          </a:avLst>
        </a:prstGeom>
        <a:solidFill>
          <a:srgbClr val="FF2919"/>
        </a:solidFill>
        <a:ln w="12700" cap="flat" cmpd="sng" algn="ctr">
          <a:solidFill>
            <a:srgbClr val="EF3124"/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4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Добавить предмет лизинга</a:t>
          </a:r>
        </a:p>
      </xdr:txBody>
    </xdr:sp>
    <xdr:clientData/>
  </xdr:twoCellAnchor>
  <xdr:twoCellAnchor>
    <xdr:from>
      <xdr:col>0</xdr:col>
      <xdr:colOff>525236</xdr:colOff>
      <xdr:row>16</xdr:row>
      <xdr:rowOff>23813</xdr:rowOff>
    </xdr:from>
    <xdr:to>
      <xdr:col>0</xdr:col>
      <xdr:colOff>2419353</xdr:colOff>
      <xdr:row>19</xdr:row>
      <xdr:rowOff>110438</xdr:rowOff>
    </xdr:to>
    <xdr:sp macro="" textlink="">
      <xdr:nvSpPr>
        <xdr:cNvPr id="14" name="ДП"/>
        <xdr:cNvSpPr/>
      </xdr:nvSpPr>
      <xdr:spPr>
        <a:xfrm>
          <a:off x="525236" y="3167063"/>
          <a:ext cx="1894117" cy="576482"/>
        </a:xfrm>
        <a:prstGeom prst="roundRect">
          <a:avLst>
            <a:gd name="adj" fmla="val 18687"/>
          </a:avLst>
        </a:prstGeom>
        <a:solidFill>
          <a:srgbClr val="FF2919"/>
        </a:solidFill>
        <a:ln w="12700" cap="flat" cmpd="sng" algn="ctr">
          <a:solidFill>
            <a:srgbClr val="EF3124"/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4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Добавить строку</a:t>
          </a:r>
        </a:p>
      </xdr:txBody>
    </xdr:sp>
    <xdr:clientData/>
  </xdr:twoCellAnchor>
  <xdr:twoCellAnchor>
    <xdr:from>
      <xdr:col>0</xdr:col>
      <xdr:colOff>534761</xdr:colOff>
      <xdr:row>26</xdr:row>
      <xdr:rowOff>96611</xdr:rowOff>
    </xdr:from>
    <xdr:to>
      <xdr:col>0</xdr:col>
      <xdr:colOff>2428878</xdr:colOff>
      <xdr:row>30</xdr:row>
      <xdr:rowOff>19468</xdr:rowOff>
    </xdr:to>
    <xdr:sp macro="" textlink="">
      <xdr:nvSpPr>
        <xdr:cNvPr id="16" name="Print"/>
        <xdr:cNvSpPr/>
      </xdr:nvSpPr>
      <xdr:spPr>
        <a:xfrm>
          <a:off x="534761" y="4872718"/>
          <a:ext cx="1894117" cy="576000"/>
        </a:xfrm>
        <a:prstGeom prst="roundRect">
          <a:avLst>
            <a:gd name="adj" fmla="val 18687"/>
          </a:avLst>
        </a:prstGeom>
        <a:solidFill>
          <a:srgbClr val="FF2919"/>
        </a:solidFill>
        <a:ln w="12700" cap="flat" cmpd="sng" algn="ctr">
          <a:solidFill>
            <a:srgbClr val="EF3124"/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4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Распечатать</a:t>
          </a:r>
        </a:p>
      </xdr:txBody>
    </xdr:sp>
    <xdr:clientData/>
  </xdr:twoCellAnchor>
  <xdr:twoCellAnchor>
    <xdr:from>
      <xdr:col>0</xdr:col>
      <xdr:colOff>534761</xdr:colOff>
      <xdr:row>21</xdr:row>
      <xdr:rowOff>122463</xdr:rowOff>
    </xdr:from>
    <xdr:to>
      <xdr:col>0</xdr:col>
      <xdr:colOff>3687536</xdr:colOff>
      <xdr:row>25</xdr:row>
      <xdr:rowOff>231322</xdr:rowOff>
    </xdr:to>
    <xdr:sp macro="" textlink="">
      <xdr:nvSpPr>
        <xdr:cNvPr id="7" name="Savefile"/>
        <xdr:cNvSpPr/>
      </xdr:nvSpPr>
      <xdr:spPr>
        <a:xfrm>
          <a:off x="534761" y="4082142"/>
          <a:ext cx="3152775" cy="762001"/>
        </a:xfrm>
        <a:prstGeom prst="roundRect">
          <a:avLst/>
        </a:prstGeom>
        <a:solidFill>
          <a:srgbClr val="FF291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ctr"/>
        <a:lstStyle/>
        <a:p>
          <a:pPr marL="0" indent="0" algn="ctr"/>
          <a:r>
            <a:rPr lang="ru-RU" sz="12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Файл сохранится в папку </a:t>
          </a:r>
          <a:r>
            <a:rPr lang="en-US" sz="12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C:\Leasing</a:t>
          </a:r>
        </a:p>
        <a:p>
          <a:pPr marL="0" indent="0" algn="ctr"/>
          <a:r>
            <a:rPr lang="ru-RU" sz="12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При отсутствии папки она будет</a:t>
          </a:r>
        </a:p>
        <a:p>
          <a:pPr marL="0" indent="0" algn="ctr"/>
          <a:r>
            <a:rPr lang="ru-RU" sz="12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создана автоматически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176894</xdr:colOff>
      <xdr:row>5</xdr:row>
      <xdr:rowOff>54429</xdr:rowOff>
    </xdr:from>
    <xdr:to>
      <xdr:col>7</xdr:col>
      <xdr:colOff>176878</xdr:colOff>
      <xdr:row>18</xdr:row>
      <xdr:rowOff>14509</xdr:rowOff>
    </xdr:to>
    <xdr:sp macro="" textlink="">
      <xdr:nvSpPr>
        <xdr:cNvPr id="14" name="Скругленный прямоугольник 13"/>
        <xdr:cNvSpPr/>
      </xdr:nvSpPr>
      <xdr:spPr>
        <a:xfrm>
          <a:off x="176894" y="959304"/>
          <a:ext cx="7820009" cy="2808055"/>
        </a:xfrm>
        <a:prstGeom prst="roundRect">
          <a:avLst>
            <a:gd name="adj" fmla="val 5824"/>
          </a:avLst>
        </a:prstGeom>
        <a:noFill/>
        <a:ln>
          <a:solidFill>
            <a:srgbClr val="FF291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0</xdr:col>
      <xdr:colOff>176891</xdr:colOff>
      <xdr:row>5</xdr:row>
      <xdr:rowOff>31199</xdr:rowOff>
    </xdr:from>
    <xdr:to>
      <xdr:col>7</xdr:col>
      <xdr:colOff>176876</xdr:colOff>
      <xdr:row>6</xdr:row>
      <xdr:rowOff>149677</xdr:rowOff>
    </xdr:to>
    <xdr:sp macro="" textlink="">
      <xdr:nvSpPr>
        <xdr:cNvPr id="15" name="Скругленный прямоугольник 14"/>
        <xdr:cNvSpPr/>
      </xdr:nvSpPr>
      <xdr:spPr>
        <a:xfrm>
          <a:off x="176891" y="936074"/>
          <a:ext cx="7820010" cy="337553"/>
        </a:xfrm>
        <a:prstGeom prst="roundRect">
          <a:avLst>
            <a:gd name="adj" fmla="val 42496"/>
          </a:avLst>
        </a:prstGeom>
        <a:solidFill>
          <a:srgbClr val="FF2919"/>
        </a:solidFill>
        <a:ln>
          <a:solidFill>
            <a:srgbClr val="FF291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Учредительные  документы</a:t>
          </a:r>
        </a:p>
      </xdr:txBody>
    </xdr:sp>
    <xdr:clientData/>
  </xdr:twoCellAnchor>
  <xdr:twoCellAnchor>
    <xdr:from>
      <xdr:col>8</xdr:col>
      <xdr:colOff>40822</xdr:colOff>
      <xdr:row>5</xdr:row>
      <xdr:rowOff>30919</xdr:rowOff>
    </xdr:from>
    <xdr:to>
      <xdr:col>15</xdr:col>
      <xdr:colOff>203200</xdr:colOff>
      <xdr:row>6</xdr:row>
      <xdr:rowOff>147782</xdr:rowOff>
    </xdr:to>
    <xdr:sp macro="" textlink="">
      <xdr:nvSpPr>
        <xdr:cNvPr id="16" name="Скругленный прямоугольник 15"/>
        <xdr:cNvSpPr/>
      </xdr:nvSpPr>
      <xdr:spPr>
        <a:xfrm>
          <a:off x="8241847" y="935794"/>
          <a:ext cx="8191953" cy="335938"/>
        </a:xfrm>
        <a:prstGeom prst="roundRect">
          <a:avLst>
            <a:gd name="adj" fmla="val 42496"/>
          </a:avLst>
        </a:prstGeom>
        <a:solidFill>
          <a:srgbClr val="FF2919"/>
        </a:solidFill>
        <a:ln>
          <a:solidFill>
            <a:srgbClr val="FF291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Финансовые документы</a:t>
          </a:r>
        </a:p>
      </xdr:txBody>
    </xdr:sp>
    <xdr:clientData/>
  </xdr:twoCellAnchor>
  <xdr:twoCellAnchor>
    <xdr:from>
      <xdr:col>8</xdr:col>
      <xdr:colOff>40823</xdr:colOff>
      <xdr:row>5</xdr:row>
      <xdr:rowOff>49893</xdr:rowOff>
    </xdr:from>
    <xdr:to>
      <xdr:col>15</xdr:col>
      <xdr:colOff>203200</xdr:colOff>
      <xdr:row>29</xdr:row>
      <xdr:rowOff>17317</xdr:rowOff>
    </xdr:to>
    <xdr:sp macro="" textlink="">
      <xdr:nvSpPr>
        <xdr:cNvPr id="17" name="Скругленный прямоугольник 16"/>
        <xdr:cNvSpPr/>
      </xdr:nvSpPr>
      <xdr:spPr>
        <a:xfrm>
          <a:off x="8241848" y="954768"/>
          <a:ext cx="8191952" cy="5225224"/>
        </a:xfrm>
        <a:prstGeom prst="roundRect">
          <a:avLst>
            <a:gd name="adj" fmla="val 2751"/>
          </a:avLst>
        </a:prstGeom>
        <a:noFill/>
        <a:ln>
          <a:solidFill>
            <a:srgbClr val="FF291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0</xdr:col>
      <xdr:colOff>176892</xdr:colOff>
      <xdr:row>19</xdr:row>
      <xdr:rowOff>61040</xdr:rowOff>
    </xdr:from>
    <xdr:to>
      <xdr:col>7</xdr:col>
      <xdr:colOff>176892</xdr:colOff>
      <xdr:row>29</xdr:row>
      <xdr:rowOff>29415</xdr:rowOff>
    </xdr:to>
    <xdr:sp macro="" textlink="">
      <xdr:nvSpPr>
        <xdr:cNvPr id="18" name="Скругленный прямоугольник 17"/>
        <xdr:cNvSpPr/>
      </xdr:nvSpPr>
      <xdr:spPr>
        <a:xfrm>
          <a:off x="176892" y="4032965"/>
          <a:ext cx="7820025" cy="2159125"/>
        </a:xfrm>
        <a:prstGeom prst="roundRect">
          <a:avLst>
            <a:gd name="adj" fmla="val 7748"/>
          </a:avLst>
        </a:prstGeom>
        <a:noFill/>
        <a:ln>
          <a:solidFill>
            <a:srgbClr val="FF291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0</xdr:col>
      <xdr:colOff>176891</xdr:colOff>
      <xdr:row>19</xdr:row>
      <xdr:rowOff>35062</xdr:rowOff>
    </xdr:from>
    <xdr:to>
      <xdr:col>7</xdr:col>
      <xdr:colOff>176892</xdr:colOff>
      <xdr:row>20</xdr:row>
      <xdr:rowOff>153541</xdr:rowOff>
    </xdr:to>
    <xdr:sp macro="" textlink="">
      <xdr:nvSpPr>
        <xdr:cNvPr id="19" name="Скругленный прямоугольник 18"/>
        <xdr:cNvSpPr/>
      </xdr:nvSpPr>
      <xdr:spPr>
        <a:xfrm>
          <a:off x="176891" y="4006987"/>
          <a:ext cx="7820026" cy="337554"/>
        </a:xfrm>
        <a:prstGeom prst="roundRect">
          <a:avLst>
            <a:gd name="adj" fmla="val 42496"/>
          </a:avLst>
        </a:prstGeom>
        <a:solidFill>
          <a:srgbClr val="FF2919"/>
        </a:solidFill>
        <a:ln>
          <a:solidFill>
            <a:srgbClr val="FF291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Все запрашиваемые документы предоставляются в обязательном порядке, если не указано иное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indexed="41"/>
  </sheetPr>
  <dimension ref="A1:QQ88"/>
  <sheetViews>
    <sheetView windowProtection="1" tabSelected="1" topLeftCell="A61" zoomScale="70" zoomScaleNormal="70" zoomScaleSheetLayoutView="55" zoomScalePageLayoutView="55" workbookViewId="0">
      <selection activeCell="D18" sqref="D18:F18"/>
    </sheetView>
  </sheetViews>
  <sheetFormatPr defaultColWidth="83.140625" defaultRowHeight="15" x14ac:dyDescent="0.2"/>
  <cols>
    <col min="1" max="1" width="4.42578125" style="6" customWidth="1"/>
    <col min="2" max="2" width="40.42578125" style="99" customWidth="1"/>
    <col min="3" max="3" width="20.7109375" style="6" customWidth="1"/>
    <col min="4" max="4" width="4.7109375" style="6" customWidth="1"/>
    <col min="5" max="5" width="21.5703125" style="6" customWidth="1"/>
    <col min="6" max="6" width="17.85546875" style="6" customWidth="1"/>
    <col min="7" max="7" width="6.7109375" style="6" customWidth="1"/>
    <col min="8" max="8" width="5.7109375" style="6" customWidth="1"/>
    <col min="9" max="9" width="9.28515625" style="6" customWidth="1"/>
    <col min="10" max="10" width="4.5703125" style="6" customWidth="1"/>
    <col min="11" max="11" width="19.28515625" style="6" customWidth="1"/>
    <col min="12" max="12" width="20.7109375" style="6" customWidth="1"/>
    <col min="13" max="13" width="23" style="6" customWidth="1"/>
    <col min="14" max="14" width="21.140625" style="6" customWidth="1"/>
    <col min="15" max="15" width="22.85546875" style="6" customWidth="1"/>
    <col min="16" max="16" width="5.7109375" style="6" customWidth="1"/>
    <col min="17" max="44" width="83.140625" style="39"/>
    <col min="45" max="48" width="20.140625" style="6" customWidth="1"/>
    <col min="49" max="16384" width="83.140625" style="6"/>
  </cols>
  <sheetData>
    <row r="1" spans="2:44" s="4" customFormat="1" ht="101.25" customHeight="1" x14ac:dyDescent="0.2">
      <c r="B1" s="89"/>
      <c r="C1" s="22"/>
      <c r="D1" s="22"/>
      <c r="F1" s="229" t="s">
        <v>217</v>
      </c>
      <c r="G1" s="229"/>
      <c r="H1" s="229"/>
      <c r="I1" s="229"/>
      <c r="J1" s="229"/>
      <c r="K1" s="229"/>
      <c r="L1" s="22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</row>
    <row r="2" spans="2:44" s="4" customFormat="1" ht="15" customHeight="1" x14ac:dyDescent="0.2">
      <c r="B2" s="89"/>
      <c r="C2" s="22"/>
      <c r="D2" s="22"/>
      <c r="E2" s="22"/>
      <c r="F2" s="229"/>
      <c r="G2" s="229"/>
      <c r="H2" s="229"/>
      <c r="I2" s="229"/>
      <c r="J2" s="229"/>
      <c r="K2" s="229"/>
      <c r="L2" s="22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</row>
    <row r="3" spans="2:44" s="4" customFormat="1" ht="15" customHeight="1" x14ac:dyDescent="0.2">
      <c r="B3" s="89"/>
      <c r="C3" s="22"/>
      <c r="D3" s="22"/>
      <c r="E3" s="22"/>
      <c r="F3" s="229"/>
      <c r="G3" s="229"/>
      <c r="H3" s="229"/>
      <c r="I3" s="229"/>
      <c r="J3" s="229"/>
      <c r="K3" s="229"/>
      <c r="L3" s="22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</row>
    <row r="4" spans="2:44" s="4" customFormat="1" ht="15" customHeight="1" x14ac:dyDescent="0.2">
      <c r="B4" s="89"/>
      <c r="C4" s="64"/>
      <c r="D4" s="64"/>
      <c r="M4" s="236" t="s">
        <v>51</v>
      </c>
      <c r="N4" s="232"/>
      <c r="O4" s="233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</row>
    <row r="5" spans="2:44" s="4" customFormat="1" ht="15" customHeight="1" x14ac:dyDescent="0.25">
      <c r="B5" s="179"/>
      <c r="C5" s="64"/>
      <c r="D5" s="64"/>
      <c r="E5" s="230" t="str">
        <f>IF(OR(D12="",D14="",D14="Выбрать"),"",CONCATENATE(D14," ''",D12,"''"))</f>
        <v/>
      </c>
      <c r="F5" s="230"/>
      <c r="G5" s="230"/>
      <c r="H5" s="230"/>
      <c r="I5" s="230"/>
      <c r="J5" s="230"/>
      <c r="K5" s="230"/>
      <c r="L5" s="230"/>
      <c r="M5" s="236"/>
      <c r="N5" s="234"/>
      <c r="O5" s="235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</row>
    <row r="6" spans="2:44" s="4" customFormat="1" ht="15" customHeight="1" x14ac:dyDescent="0.2">
      <c r="B6" s="231" t="s">
        <v>50</v>
      </c>
      <c r="C6" s="231"/>
      <c r="D6" s="63"/>
      <c r="E6" s="230"/>
      <c r="F6" s="230"/>
      <c r="G6" s="230"/>
      <c r="H6" s="230"/>
      <c r="I6" s="230"/>
      <c r="J6" s="230"/>
      <c r="K6" s="230"/>
      <c r="L6" s="230"/>
      <c r="N6" s="26"/>
      <c r="O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</row>
    <row r="7" spans="2:44" s="4" customFormat="1" ht="19.5" customHeight="1" x14ac:dyDescent="0.2">
      <c r="B7" s="231"/>
      <c r="C7" s="231"/>
      <c r="D7" s="63"/>
      <c r="N7" s="239" t="s">
        <v>17</v>
      </c>
      <c r="O7" s="237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</row>
    <row r="8" spans="2:44" s="4" customFormat="1" ht="15" customHeight="1" x14ac:dyDescent="0.2">
      <c r="B8" s="231"/>
      <c r="C8" s="231"/>
      <c r="D8" s="63"/>
      <c r="M8" s="2"/>
      <c r="N8" s="239"/>
      <c r="O8" s="238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</row>
    <row r="9" spans="2:44" s="4" customFormat="1" ht="15" customHeight="1" x14ac:dyDescent="0.2">
      <c r="B9" s="2"/>
      <c r="C9" s="2"/>
      <c r="D9" s="2"/>
      <c r="M9" s="10"/>
      <c r="N9" s="16"/>
      <c r="O9" s="1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</row>
    <row r="10" spans="2:44" ht="29.25" customHeight="1" x14ac:dyDescent="0.2">
      <c r="B10" s="2"/>
      <c r="C10" s="2"/>
      <c r="D10" s="2"/>
      <c r="E10" s="2"/>
      <c r="F10" s="2"/>
      <c r="G10" s="2"/>
      <c r="H10" s="2"/>
      <c r="I10" s="2"/>
      <c r="J10" s="3"/>
      <c r="K10" s="3"/>
      <c r="L10" s="3"/>
      <c r="M10" s="3"/>
      <c r="N10" s="13"/>
      <c r="O10" s="13"/>
      <c r="Q10" s="2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</row>
    <row r="11" spans="2:44" ht="11.25" customHeight="1" x14ac:dyDescent="0.2">
      <c r="B11" s="2"/>
      <c r="C11" s="2"/>
      <c r="D11" s="2"/>
      <c r="E11" s="2"/>
      <c r="F11" s="2"/>
      <c r="G11" s="2"/>
      <c r="H11" s="2"/>
      <c r="I11" s="2"/>
      <c r="J11" s="3"/>
      <c r="K11" s="3"/>
      <c r="L11" s="3"/>
      <c r="M11" s="3"/>
      <c r="N11" s="13"/>
      <c r="O11" s="13"/>
      <c r="Q11" s="2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</row>
    <row r="12" spans="2:44" s="4" customFormat="1" ht="30" customHeight="1" x14ac:dyDescent="0.2">
      <c r="B12" s="222" t="s">
        <v>232</v>
      </c>
      <c r="C12" s="223"/>
      <c r="D12" s="224"/>
      <c r="E12" s="225"/>
      <c r="F12" s="225"/>
      <c r="G12" s="225"/>
      <c r="H12" s="225"/>
      <c r="I12" s="225"/>
      <c r="J12" s="225"/>
      <c r="K12" s="225"/>
      <c r="L12" s="226"/>
      <c r="M12" s="93"/>
      <c r="N12" s="21" t="s">
        <v>8</v>
      </c>
      <c r="O12" s="188" t="s">
        <v>28</v>
      </c>
      <c r="P12" s="5"/>
      <c r="Q12" s="26"/>
    </row>
    <row r="13" spans="2:44" ht="3.75" customHeight="1" x14ac:dyDescent="0.2">
      <c r="B13" s="91"/>
      <c r="C13" s="91"/>
      <c r="D13" s="2"/>
      <c r="E13" s="2"/>
      <c r="F13" s="2"/>
      <c r="G13" s="2"/>
      <c r="H13" s="2"/>
      <c r="I13" s="2"/>
      <c r="J13" s="3"/>
      <c r="K13" s="3"/>
      <c r="L13" s="3"/>
      <c r="M13" s="3"/>
      <c r="N13" s="13"/>
      <c r="O13" s="13"/>
      <c r="Q13" s="2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</row>
    <row r="14" spans="2:44" s="4" customFormat="1" ht="32.25" customHeight="1" x14ac:dyDescent="0.2">
      <c r="B14" s="227" t="s">
        <v>7</v>
      </c>
      <c r="C14" s="228"/>
      <c r="D14" s="243" t="s">
        <v>1</v>
      </c>
      <c r="E14" s="244"/>
      <c r="F14" s="245"/>
      <c r="G14" s="100"/>
      <c r="H14" s="100"/>
      <c r="I14" s="26"/>
      <c r="J14" s="26"/>
      <c r="K14" s="90" t="s">
        <v>218</v>
      </c>
      <c r="L14" s="191"/>
      <c r="M14" s="26"/>
      <c r="N14" s="21" t="s">
        <v>104</v>
      </c>
      <c r="O14" s="188"/>
      <c r="Q14" s="26"/>
    </row>
    <row r="15" spans="2:44" ht="3.75" customHeight="1" x14ac:dyDescent="0.2">
      <c r="B15" s="2"/>
      <c r="C15" s="2"/>
      <c r="D15" s="2"/>
      <c r="E15" s="2"/>
      <c r="F15" s="2"/>
      <c r="G15" s="2"/>
      <c r="H15" s="2"/>
      <c r="I15" s="2"/>
      <c r="J15" s="3"/>
      <c r="K15" s="3"/>
      <c r="L15" s="3"/>
      <c r="M15" s="3"/>
      <c r="N15" s="13"/>
      <c r="O15" s="13"/>
      <c r="Q15" s="2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</row>
    <row r="16" spans="2:44" s="4" customFormat="1" ht="30" customHeight="1" x14ac:dyDescent="0.2">
      <c r="B16" s="222" t="s">
        <v>231</v>
      </c>
      <c r="C16" s="223"/>
      <c r="D16" s="224"/>
      <c r="E16" s="225"/>
      <c r="F16" s="225"/>
      <c r="G16" s="225"/>
      <c r="H16" s="225"/>
      <c r="I16" s="225"/>
      <c r="J16" s="225"/>
      <c r="K16" s="225"/>
      <c r="L16" s="226"/>
      <c r="M16" s="43"/>
      <c r="N16" s="90" t="s">
        <v>219</v>
      </c>
      <c r="O16" s="191"/>
      <c r="Q16" s="55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</row>
    <row r="17" spans="2:44" s="195" customFormat="1" ht="3.75" customHeight="1" x14ac:dyDescent="0.2">
      <c r="B17" s="196"/>
      <c r="C17" s="196"/>
      <c r="D17" s="202">
        <f>D18</f>
        <v>0</v>
      </c>
      <c r="E17" s="203"/>
      <c r="F17" s="203"/>
      <c r="G17" s="204"/>
      <c r="H17" s="204"/>
      <c r="I17" s="204"/>
      <c r="J17" s="204"/>
      <c r="K17" s="204"/>
      <c r="L17" s="205">
        <f>L18</f>
        <v>0</v>
      </c>
      <c r="M17" s="197"/>
      <c r="N17" s="198"/>
      <c r="O17" s="206"/>
      <c r="Q17" s="199"/>
      <c r="R17" s="199"/>
      <c r="S17" s="199"/>
      <c r="T17" s="199"/>
      <c r="U17" s="199"/>
      <c r="V17" s="199"/>
      <c r="W17" s="199"/>
      <c r="X17" s="199"/>
      <c r="Y17" s="199"/>
      <c r="Z17" s="199"/>
      <c r="AA17" s="199"/>
      <c r="AB17" s="199"/>
      <c r="AC17" s="199"/>
      <c r="AD17" s="199"/>
      <c r="AE17" s="199"/>
      <c r="AF17" s="199"/>
      <c r="AG17" s="199"/>
      <c r="AH17" s="199"/>
      <c r="AI17" s="199"/>
      <c r="AJ17" s="199"/>
      <c r="AK17" s="199"/>
      <c r="AL17" s="199"/>
      <c r="AM17" s="199"/>
      <c r="AN17" s="199"/>
      <c r="AO17" s="199"/>
      <c r="AP17" s="199"/>
      <c r="AQ17" s="199"/>
      <c r="AR17" s="199"/>
    </row>
    <row r="18" spans="2:44" s="4" customFormat="1" ht="30" customHeight="1" x14ac:dyDescent="0.2">
      <c r="C18" s="194" t="s">
        <v>21</v>
      </c>
      <c r="D18" s="240"/>
      <c r="E18" s="241"/>
      <c r="F18" s="242"/>
      <c r="G18" s="117"/>
      <c r="H18" s="117"/>
      <c r="I18" s="117"/>
      <c r="J18" s="117"/>
      <c r="K18" s="90" t="s">
        <v>48</v>
      </c>
      <c r="L18" s="189"/>
      <c r="M18" s="39"/>
      <c r="N18" s="88" t="s">
        <v>49</v>
      </c>
      <c r="O18" s="180"/>
      <c r="P18" s="107"/>
      <c r="Q18" s="55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</row>
    <row r="19" spans="2:44" ht="3.75" customHeight="1" x14ac:dyDescent="0.2">
      <c r="B19" s="2"/>
      <c r="C19" s="2"/>
      <c r="D19" s="2"/>
      <c r="E19" s="2"/>
      <c r="F19" s="2"/>
      <c r="G19" s="2"/>
      <c r="H19" s="2"/>
      <c r="I19" s="2"/>
      <c r="J19" s="3"/>
      <c r="K19" s="3"/>
      <c r="L19" s="3"/>
      <c r="M19" s="3"/>
      <c r="N19" s="13"/>
      <c r="O19" s="13"/>
      <c r="Q19" s="55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</row>
    <row r="20" spans="2:44" ht="11.25" customHeight="1" x14ac:dyDescent="0.2">
      <c r="B20" s="2"/>
      <c r="C20" s="2"/>
      <c r="D20" s="2"/>
      <c r="E20" s="2"/>
      <c r="F20" s="2"/>
      <c r="G20" s="2"/>
      <c r="H20" s="2"/>
      <c r="I20" s="2"/>
      <c r="J20" s="3"/>
      <c r="K20" s="3"/>
      <c r="L20" s="3"/>
      <c r="M20" s="3"/>
      <c r="N20" s="13"/>
      <c r="O20" s="13"/>
      <c r="Q20" s="55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</row>
    <row r="21" spans="2:44" ht="30" customHeight="1" x14ac:dyDescent="0.2">
      <c r="B21" s="218"/>
      <c r="C21" s="218"/>
      <c r="D21" s="218"/>
      <c r="E21" s="218"/>
      <c r="F21" s="218"/>
      <c r="G21" s="218"/>
      <c r="H21" s="218"/>
      <c r="I21" s="218"/>
      <c r="J21" s="218"/>
      <c r="K21" s="218"/>
      <c r="L21" s="218"/>
      <c r="M21" s="218"/>
      <c r="N21" s="218"/>
      <c r="O21" s="218"/>
      <c r="P21" s="5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</row>
    <row r="22" spans="2:44" ht="13.5" customHeight="1" x14ac:dyDescent="0.2">
      <c r="B22" s="218"/>
      <c r="C22" s="218"/>
      <c r="D22" s="218"/>
      <c r="E22" s="218"/>
      <c r="F22" s="218"/>
      <c r="G22" s="218"/>
      <c r="H22" s="218"/>
      <c r="I22" s="218"/>
      <c r="J22" s="218"/>
      <c r="K22" s="218"/>
      <c r="L22" s="218"/>
      <c r="M22" s="218"/>
      <c r="N22" s="218"/>
      <c r="O22" s="218"/>
      <c r="P22" s="5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</row>
    <row r="23" spans="2:44" ht="18" customHeight="1" x14ac:dyDescent="0.2">
      <c r="B23" s="216" t="s">
        <v>15</v>
      </c>
      <c r="C23" s="224"/>
      <c r="D23" s="225"/>
      <c r="E23" s="225"/>
      <c r="F23" s="226"/>
      <c r="G23" s="219"/>
      <c r="H23" s="108"/>
      <c r="I23" s="108"/>
      <c r="J23" s="8"/>
      <c r="K23" s="222" t="s">
        <v>16</v>
      </c>
      <c r="L23" s="222"/>
      <c r="M23" s="243"/>
      <c r="N23" s="244"/>
      <c r="O23" s="245"/>
      <c r="P23" s="5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</row>
    <row r="24" spans="2:44" ht="3.75" customHeight="1" x14ac:dyDescent="0.2">
      <c r="B24" s="2"/>
      <c r="C24" s="2"/>
      <c r="D24" s="2"/>
      <c r="E24" s="2"/>
      <c r="F24" s="2"/>
      <c r="G24" s="2"/>
      <c r="H24" s="2"/>
      <c r="I24" s="2"/>
      <c r="J24" s="3"/>
      <c r="K24" s="3"/>
      <c r="L24" s="3"/>
      <c r="M24" s="3"/>
      <c r="N24" s="13"/>
      <c r="O24" s="13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</row>
    <row r="25" spans="2:44" ht="18" customHeight="1" x14ac:dyDescent="0.2">
      <c r="B25" s="7"/>
      <c r="C25" s="224"/>
      <c r="D25" s="225"/>
      <c r="E25" s="225"/>
      <c r="F25" s="226"/>
      <c r="G25" s="108"/>
      <c r="H25" s="108"/>
      <c r="I25" s="108"/>
      <c r="J25" s="18"/>
      <c r="K25" s="18"/>
      <c r="L25" s="18"/>
      <c r="M25" s="243"/>
      <c r="N25" s="244"/>
      <c r="O25" s="245"/>
      <c r="P25" s="5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</row>
    <row r="26" spans="2:44" ht="3.75" customHeight="1" x14ac:dyDescent="0.2">
      <c r="B26" s="2"/>
      <c r="C26" s="2"/>
      <c r="D26" s="2"/>
      <c r="E26" s="2"/>
      <c r="F26" s="2"/>
      <c r="G26" s="2"/>
      <c r="H26" s="2"/>
      <c r="I26" s="2"/>
      <c r="J26" s="3"/>
      <c r="K26" s="3"/>
      <c r="L26" s="3"/>
      <c r="M26" s="3"/>
      <c r="N26" s="13"/>
      <c r="O26" s="13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</row>
    <row r="27" spans="2:44" ht="18" customHeight="1" x14ac:dyDescent="0.2">
      <c r="B27" s="7"/>
      <c r="C27" s="224"/>
      <c r="D27" s="225"/>
      <c r="E27" s="225"/>
      <c r="F27" s="226"/>
      <c r="G27" s="109"/>
      <c r="H27" s="109"/>
      <c r="I27" s="109"/>
      <c r="J27" s="18"/>
      <c r="K27" s="18"/>
      <c r="L27" s="18"/>
      <c r="M27" s="243"/>
      <c r="N27" s="244"/>
      <c r="O27" s="245"/>
      <c r="P27" s="5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</row>
    <row r="28" spans="2:44" ht="3.75" customHeight="1" x14ac:dyDescent="0.2">
      <c r="B28" s="2"/>
      <c r="C28" s="2"/>
      <c r="D28" s="2"/>
      <c r="E28" s="2"/>
      <c r="F28" s="2"/>
      <c r="G28" s="2"/>
      <c r="H28" s="2"/>
      <c r="I28" s="2"/>
      <c r="J28" s="3"/>
      <c r="K28" s="3"/>
      <c r="L28" s="3"/>
      <c r="M28" s="3"/>
      <c r="N28" s="13"/>
      <c r="O28" s="13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</row>
    <row r="29" spans="2:44" ht="18" customHeight="1" x14ac:dyDescent="0.2">
      <c r="B29" s="7"/>
      <c r="C29" s="224"/>
      <c r="D29" s="225"/>
      <c r="E29" s="225"/>
      <c r="F29" s="226"/>
      <c r="G29" s="109"/>
      <c r="H29" s="109"/>
      <c r="I29" s="109"/>
      <c r="J29" s="18"/>
      <c r="K29" s="18"/>
      <c r="L29" s="18"/>
      <c r="M29" s="243"/>
      <c r="N29" s="244"/>
      <c r="O29" s="245"/>
      <c r="P29" s="5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</row>
    <row r="30" spans="2:44" ht="13.5" customHeight="1" x14ac:dyDescent="0.2">
      <c r="B30" s="218"/>
      <c r="C30" s="218"/>
      <c r="D30" s="218"/>
      <c r="E30" s="218"/>
      <c r="F30" s="218"/>
      <c r="G30" s="218"/>
      <c r="H30" s="218"/>
      <c r="I30" s="218"/>
      <c r="J30" s="218"/>
      <c r="K30" s="218"/>
      <c r="L30" s="218"/>
      <c r="M30" s="218"/>
      <c r="N30" s="218"/>
      <c r="O30" s="218"/>
      <c r="P30" s="5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</row>
    <row r="31" spans="2:44" ht="15" customHeight="1" x14ac:dyDescent="0.2">
      <c r="B31" s="218"/>
      <c r="C31" s="218"/>
      <c r="D31" s="218"/>
      <c r="E31" s="218"/>
      <c r="F31" s="218"/>
      <c r="G31" s="218"/>
      <c r="H31" s="218"/>
      <c r="I31" s="218"/>
      <c r="J31" s="218"/>
      <c r="K31" s="218"/>
      <c r="L31" s="218"/>
      <c r="M31" s="218"/>
      <c r="N31" s="218"/>
      <c r="O31" s="218"/>
      <c r="P31" s="5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</row>
    <row r="32" spans="2:44" ht="30" customHeight="1" x14ac:dyDescent="0.2">
      <c r="B32" s="6"/>
      <c r="P32" s="33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</row>
    <row r="33" spans="1:161" ht="45" customHeight="1" x14ac:dyDescent="0.2">
      <c r="B33" s="175" t="s">
        <v>206</v>
      </c>
      <c r="C33" s="176" t="s">
        <v>0</v>
      </c>
      <c r="D33" s="263" t="s">
        <v>207</v>
      </c>
      <c r="E33" s="263"/>
      <c r="F33" s="176" t="s">
        <v>216</v>
      </c>
      <c r="G33" s="263" t="s">
        <v>47</v>
      </c>
      <c r="H33" s="263"/>
      <c r="I33" s="263"/>
      <c r="J33" s="264" t="s">
        <v>44</v>
      </c>
      <c r="K33" s="264"/>
      <c r="L33" s="176" t="s">
        <v>204</v>
      </c>
      <c r="M33" s="217" t="s">
        <v>45</v>
      </c>
      <c r="N33" s="217" t="s">
        <v>205</v>
      </c>
      <c r="O33" s="178" t="s">
        <v>55</v>
      </c>
      <c r="P33" s="33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</row>
    <row r="34" spans="1:161" s="24" customFormat="1" ht="18" customHeight="1" x14ac:dyDescent="0.2">
      <c r="B34" s="183"/>
      <c r="C34" s="181" t="s">
        <v>82</v>
      </c>
      <c r="D34" s="265" t="str">
        <f>Support!H34</f>
        <v xml:space="preserve"> ------- </v>
      </c>
      <c r="E34" s="265"/>
      <c r="F34" s="185"/>
      <c r="G34" s="266"/>
      <c r="H34" s="266"/>
      <c r="I34" s="266"/>
      <c r="J34" s="267"/>
      <c r="K34" s="268"/>
      <c r="L34" s="184"/>
      <c r="M34" s="186">
        <f>IF(C34="Нет","------------",J34*Support!M34)</f>
        <v>0</v>
      </c>
      <c r="N34" s="208">
        <f>IF(C34="Нет","------------",J34*Support!T34)</f>
        <v>0</v>
      </c>
      <c r="O34" s="187"/>
      <c r="P34" s="25"/>
    </row>
    <row r="35" spans="1:161" ht="3.75" customHeight="1" x14ac:dyDescent="0.2">
      <c r="B35" s="41"/>
      <c r="C35" s="41"/>
      <c r="D35" s="41"/>
      <c r="E35" s="41"/>
      <c r="F35" s="2"/>
      <c r="G35" s="114"/>
      <c r="H35" s="114"/>
      <c r="I35" s="114"/>
      <c r="J35" s="115"/>
      <c r="K35" s="115"/>
      <c r="L35" s="3"/>
      <c r="M35" s="3"/>
      <c r="N35" s="13"/>
      <c r="O35" s="13"/>
      <c r="Q35" s="55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</row>
    <row r="36" spans="1:161" s="24" customFormat="1" ht="18" customHeight="1" x14ac:dyDescent="0.2">
      <c r="B36" s="183"/>
      <c r="C36" s="181" t="s">
        <v>82</v>
      </c>
      <c r="D36" s="265" t="str">
        <f>Support!H36</f>
        <v xml:space="preserve"> ------- </v>
      </c>
      <c r="E36" s="265"/>
      <c r="F36" s="185"/>
      <c r="G36" s="266"/>
      <c r="H36" s="266"/>
      <c r="I36" s="266"/>
      <c r="J36" s="267"/>
      <c r="K36" s="268"/>
      <c r="L36" s="184"/>
      <c r="M36" s="186">
        <f>IF(C36="Нет","------------",J36*Support!M36)</f>
        <v>0</v>
      </c>
      <c r="N36" s="208">
        <f>IF(C36="Нет","------------",J36*Support!T36)</f>
        <v>0</v>
      </c>
      <c r="O36" s="187"/>
      <c r="P36" s="25"/>
      <c r="Q36" s="55"/>
    </row>
    <row r="37" spans="1:161" ht="3.75" customHeight="1" x14ac:dyDescent="0.2">
      <c r="B37" s="41"/>
      <c r="C37" s="41"/>
      <c r="D37" s="41"/>
      <c r="E37" s="41"/>
      <c r="F37" s="2"/>
      <c r="G37" s="114"/>
      <c r="H37" s="114"/>
      <c r="I37" s="114"/>
      <c r="J37" s="115"/>
      <c r="K37" s="115"/>
      <c r="L37" s="3"/>
      <c r="M37" s="3"/>
      <c r="N37" s="13"/>
      <c r="O37" s="13"/>
      <c r="Q37" s="55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</row>
    <row r="38" spans="1:161" s="24" customFormat="1" ht="18" customHeight="1" x14ac:dyDescent="0.2">
      <c r="B38" s="183"/>
      <c r="C38" s="181" t="s">
        <v>82</v>
      </c>
      <c r="D38" s="265" t="str">
        <f>Support!H38</f>
        <v xml:space="preserve"> ------- </v>
      </c>
      <c r="E38" s="265"/>
      <c r="F38" s="185"/>
      <c r="G38" s="266"/>
      <c r="H38" s="266"/>
      <c r="I38" s="266"/>
      <c r="J38" s="267"/>
      <c r="K38" s="268"/>
      <c r="L38" s="184"/>
      <c r="M38" s="186">
        <f>IF(C38="Нет","------------",J38*Support!M38)</f>
        <v>0</v>
      </c>
      <c r="N38" s="208">
        <f>IF(C38="Нет","------------",J38*Support!T38)</f>
        <v>0</v>
      </c>
      <c r="O38" s="187"/>
      <c r="P38" s="25"/>
      <c r="Q38" s="55"/>
    </row>
    <row r="39" spans="1:161" ht="3.75" customHeight="1" x14ac:dyDescent="0.2">
      <c r="B39" s="41"/>
      <c r="C39" s="41"/>
      <c r="D39" s="41"/>
      <c r="E39" s="41"/>
      <c r="F39" s="2"/>
      <c r="G39" s="114"/>
      <c r="H39" s="114"/>
      <c r="I39" s="114"/>
      <c r="J39" s="115"/>
      <c r="K39" s="115"/>
      <c r="L39" s="3"/>
      <c r="M39" s="3"/>
      <c r="N39" s="13"/>
      <c r="O39" s="13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</row>
    <row r="40" spans="1:161" s="4" customFormat="1" ht="15" customHeight="1" x14ac:dyDescent="0.2">
      <c r="B40" s="248" t="s">
        <v>208</v>
      </c>
      <c r="C40" s="249"/>
      <c r="D40" s="250">
        <f>D42+D44+N42+N44</f>
        <v>0</v>
      </c>
      <c r="E40" s="251"/>
      <c r="F40" s="249" t="s">
        <v>211</v>
      </c>
      <c r="G40" s="249"/>
      <c r="H40" s="249"/>
      <c r="I40" s="249"/>
      <c r="J40" s="250">
        <f>SUM(J34:K39)</f>
        <v>0</v>
      </c>
      <c r="K40" s="251"/>
      <c r="L40" s="252" t="s">
        <v>42</v>
      </c>
      <c r="M40" s="252"/>
      <c r="N40" s="215">
        <f>MAX(O18)</f>
        <v>0</v>
      </c>
      <c r="O40" s="56" t="s">
        <v>43</v>
      </c>
    </row>
    <row r="41" spans="1:161" ht="3.75" customHeight="1" x14ac:dyDescent="0.2">
      <c r="B41" s="173"/>
      <c r="C41" s="173"/>
      <c r="D41" s="2"/>
      <c r="E41" s="2"/>
      <c r="F41" s="172"/>
      <c r="G41" s="172"/>
      <c r="H41" s="172"/>
      <c r="I41" s="172"/>
      <c r="J41" s="3"/>
      <c r="K41" s="3"/>
      <c r="L41" s="171"/>
      <c r="M41" s="171"/>
      <c r="N41" s="13"/>
      <c r="O41" s="13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</row>
    <row r="42" spans="1:161" s="20" customFormat="1" ht="15" customHeight="1" x14ac:dyDescent="0.2">
      <c r="B42" s="246" t="s">
        <v>209</v>
      </c>
      <c r="C42" s="246"/>
      <c r="D42" s="257">
        <f>Support!W30</f>
        <v>0</v>
      </c>
      <c r="E42" s="258"/>
      <c r="F42" s="246" t="s">
        <v>212</v>
      </c>
      <c r="G42" s="246"/>
      <c r="H42" s="246"/>
      <c r="I42" s="246"/>
      <c r="J42" s="257">
        <f>Support!Y30</f>
        <v>0</v>
      </c>
      <c r="K42" s="258"/>
      <c r="L42" s="209"/>
      <c r="M42" s="210" t="s">
        <v>214</v>
      </c>
      <c r="N42" s="214">
        <f>IF(OR(J42="",J42=0),0,J42/1.18)</f>
        <v>0</v>
      </c>
      <c r="O42" s="211"/>
      <c r="P42" s="19"/>
    </row>
    <row r="43" spans="1:161" ht="3.75" customHeight="1" x14ac:dyDescent="0.2">
      <c r="B43" s="173"/>
      <c r="C43" s="173"/>
      <c r="D43" s="2"/>
      <c r="E43" s="2"/>
      <c r="F43" s="172"/>
      <c r="G43" s="172"/>
      <c r="H43" s="172"/>
      <c r="I43" s="172"/>
      <c r="J43" s="3"/>
      <c r="K43" s="3"/>
      <c r="L43" s="212"/>
      <c r="M43" s="212"/>
      <c r="N43" s="213"/>
      <c r="O43" s="213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</row>
    <row r="44" spans="1:161" s="20" customFormat="1" ht="15" customHeight="1" x14ac:dyDescent="0.2">
      <c r="B44" s="246" t="s">
        <v>210</v>
      </c>
      <c r="C44" s="246"/>
      <c r="D44" s="257">
        <f>Support!AA30</f>
        <v>0</v>
      </c>
      <c r="E44" s="258"/>
      <c r="F44" s="246" t="s">
        <v>213</v>
      </c>
      <c r="G44" s="246"/>
      <c r="H44" s="246"/>
      <c r="I44" s="246"/>
      <c r="J44" s="257">
        <f>Support!AC30</f>
        <v>0</v>
      </c>
      <c r="K44" s="258"/>
      <c r="L44" s="209"/>
      <c r="M44" s="210" t="s">
        <v>215</v>
      </c>
      <c r="N44" s="214">
        <f>IF(OR(J44="",J44=0),0,J44/1.18)</f>
        <v>0</v>
      </c>
      <c r="O44" s="211"/>
      <c r="P44" s="19"/>
    </row>
    <row r="45" spans="1:161" ht="9" customHeight="1" x14ac:dyDescent="0.2">
      <c r="B45" s="33"/>
      <c r="C45" s="91"/>
      <c r="D45" s="2"/>
      <c r="E45" s="91"/>
      <c r="F45" s="91"/>
      <c r="G45" s="91"/>
      <c r="H45" s="91"/>
      <c r="I45" s="219"/>
      <c r="J45" s="219"/>
      <c r="K45" s="219"/>
      <c r="L45" s="219"/>
      <c r="M45" s="219"/>
      <c r="N45" s="219"/>
      <c r="O45" s="219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</row>
    <row r="46" spans="1:161" ht="15" customHeight="1" x14ac:dyDescent="0.2">
      <c r="B46" s="218"/>
      <c r="C46" s="218"/>
      <c r="D46" s="218"/>
      <c r="E46" s="218"/>
      <c r="F46" s="218"/>
      <c r="G46" s="218"/>
      <c r="H46" s="218"/>
      <c r="I46" s="218"/>
      <c r="J46" s="218"/>
      <c r="K46" s="218"/>
      <c r="L46" s="218"/>
      <c r="M46" s="218"/>
      <c r="N46" s="218"/>
      <c r="O46" s="218"/>
      <c r="P46" s="5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</row>
    <row r="47" spans="1:161" s="55" customFormat="1" ht="17.25" customHeight="1" x14ac:dyDescent="0.2">
      <c r="A47" s="6"/>
      <c r="B47" s="219"/>
      <c r="C47" s="219"/>
      <c r="D47" s="219"/>
      <c r="E47" s="219"/>
      <c r="F47" s="219"/>
      <c r="G47" s="219"/>
      <c r="H47" s="219"/>
      <c r="I47" s="93"/>
      <c r="J47" s="219"/>
      <c r="K47" s="219"/>
      <c r="L47" s="219"/>
      <c r="M47" s="219"/>
      <c r="N47" s="219"/>
      <c r="O47" s="219"/>
      <c r="P47" s="6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  <c r="AT47" s="39"/>
      <c r="AU47" s="39"/>
      <c r="AV47" s="39"/>
      <c r="AW47" s="39"/>
      <c r="AX47" s="39"/>
      <c r="AY47" s="39"/>
      <c r="AZ47" s="39"/>
      <c r="BA47" s="39"/>
      <c r="BB47" s="39"/>
      <c r="BC47" s="39"/>
      <c r="BD47" s="39"/>
      <c r="BE47" s="39"/>
      <c r="BF47" s="39"/>
      <c r="BG47" s="6"/>
      <c r="BH47" s="6"/>
      <c r="BI47" s="39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  <c r="EA47" s="6"/>
      <c r="EB47" s="6"/>
      <c r="EC47" s="6"/>
      <c r="ED47" s="6"/>
      <c r="EE47" s="6"/>
      <c r="EF47" s="6"/>
      <c r="EG47" s="6"/>
      <c r="EH47" s="6"/>
      <c r="EI47" s="6"/>
      <c r="EJ47" s="6"/>
      <c r="EK47" s="6"/>
      <c r="EL47" s="6"/>
      <c r="EM47" s="6"/>
      <c r="EN47" s="6"/>
      <c r="EO47" s="6"/>
      <c r="EP47" s="6"/>
      <c r="EQ47" s="6"/>
      <c r="ER47" s="6"/>
      <c r="ES47" s="6"/>
      <c r="ET47" s="6"/>
      <c r="EU47" s="6"/>
      <c r="EV47" s="6"/>
      <c r="EW47" s="6"/>
      <c r="EX47" s="6"/>
      <c r="EY47" s="6"/>
      <c r="EZ47" s="6"/>
      <c r="FA47" s="6"/>
      <c r="FB47" s="6"/>
      <c r="FC47" s="6"/>
      <c r="FD47" s="6"/>
      <c r="FE47" s="6"/>
    </row>
    <row r="48" spans="1:161" s="55" customFormat="1" ht="17.25" customHeight="1" x14ac:dyDescent="0.2">
      <c r="A48" s="4"/>
      <c r="B48" s="89"/>
      <c r="C48" s="89"/>
      <c r="D48" s="89"/>
      <c r="E48" s="89"/>
      <c r="F48" s="89"/>
      <c r="G48" s="89"/>
      <c r="H48" s="89"/>
      <c r="I48" s="21"/>
      <c r="J48" s="89"/>
      <c r="K48" s="89"/>
      <c r="L48" s="89"/>
      <c r="M48" s="89"/>
      <c r="N48" s="89"/>
      <c r="O48" s="89"/>
      <c r="P48" s="4"/>
      <c r="Q48" s="117"/>
      <c r="R48" s="117"/>
      <c r="S48" s="117"/>
      <c r="T48" s="117"/>
      <c r="U48" s="117"/>
      <c r="V48" s="117"/>
      <c r="W48" s="117"/>
      <c r="X48" s="117"/>
      <c r="Y48" s="117"/>
      <c r="Z48" s="117"/>
      <c r="AA48" s="117"/>
      <c r="AB48" s="117"/>
      <c r="AC48" s="117"/>
      <c r="AD48" s="117"/>
      <c r="AE48" s="117"/>
      <c r="AF48" s="117"/>
      <c r="AG48" s="117"/>
      <c r="AH48" s="117"/>
      <c r="AI48" s="117"/>
      <c r="AJ48" s="117"/>
      <c r="AK48" s="117"/>
      <c r="AL48" s="117"/>
      <c r="AM48" s="117"/>
      <c r="AN48" s="117"/>
      <c r="AO48" s="117"/>
      <c r="AP48" s="117"/>
      <c r="AQ48" s="117"/>
      <c r="AR48" s="117"/>
      <c r="AS48" s="117"/>
      <c r="AT48" s="117"/>
      <c r="AU48" s="117"/>
      <c r="AV48" s="117"/>
      <c r="AW48" s="117"/>
      <c r="AX48" s="117"/>
      <c r="AY48" s="117"/>
      <c r="AZ48" s="117"/>
      <c r="BA48" s="117"/>
      <c r="BB48" s="117"/>
      <c r="BC48" s="117"/>
      <c r="BD48" s="117"/>
      <c r="BE48" s="117"/>
      <c r="BF48" s="117"/>
      <c r="BG48" s="4"/>
      <c r="BH48" s="4"/>
      <c r="BI48" s="117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</row>
    <row r="49" spans="1:161" s="55" customFormat="1" ht="17.25" customHeight="1" x14ac:dyDescent="0.2">
      <c r="A49" s="4"/>
      <c r="B49" s="271" t="s">
        <v>108</v>
      </c>
      <c r="C49" s="271"/>
      <c r="D49" s="271"/>
      <c r="E49" s="271"/>
      <c r="F49" s="271"/>
      <c r="G49" s="271"/>
      <c r="H49" s="57"/>
      <c r="I49" s="167" t="s">
        <v>184</v>
      </c>
      <c r="J49" s="271" t="s">
        <v>186</v>
      </c>
      <c r="K49" s="271"/>
      <c r="L49" s="271"/>
      <c r="M49" s="271"/>
      <c r="N49" s="271"/>
      <c r="O49" s="271"/>
      <c r="P49" s="11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117"/>
      <c r="AK49" s="117"/>
      <c r="AL49" s="117"/>
      <c r="AM49" s="117"/>
      <c r="AN49" s="117"/>
      <c r="AO49" s="117"/>
      <c r="AP49" s="117"/>
      <c r="AQ49" s="117"/>
      <c r="AR49" s="117"/>
      <c r="AS49" s="117"/>
      <c r="AT49" s="117"/>
      <c r="AU49" s="117"/>
      <c r="AV49" s="117"/>
      <c r="AW49" s="117"/>
      <c r="AX49" s="117"/>
      <c r="AY49" s="117"/>
      <c r="AZ49" s="117"/>
      <c r="BA49" s="117"/>
      <c r="BB49" s="117"/>
      <c r="BC49" s="117"/>
      <c r="BD49" s="4"/>
      <c r="BE49" s="4"/>
      <c r="BF49" s="4"/>
      <c r="BG49" s="4"/>
      <c r="BH49" s="4"/>
      <c r="BI49" s="57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</row>
    <row r="50" spans="1:161" s="55" customFormat="1" ht="17.25" customHeight="1" x14ac:dyDescent="0.2">
      <c r="A50" s="4"/>
      <c r="B50" s="273" t="s">
        <v>67</v>
      </c>
      <c r="C50" s="273"/>
      <c r="D50" s="273"/>
      <c r="E50" s="273"/>
      <c r="F50" s="273"/>
      <c r="G50" s="273"/>
      <c r="H50" s="4"/>
      <c r="I50" s="4"/>
      <c r="J50" s="271" t="s">
        <v>185</v>
      </c>
      <c r="K50" s="271"/>
      <c r="L50" s="271"/>
      <c r="M50" s="271"/>
      <c r="N50" s="271"/>
      <c r="O50" s="271"/>
      <c r="P50" s="117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117"/>
      <c r="AK50" s="117"/>
      <c r="AL50" s="117"/>
      <c r="AM50" s="117"/>
      <c r="AN50" s="117"/>
      <c r="AO50" s="117"/>
      <c r="AP50" s="117"/>
      <c r="AQ50" s="117"/>
      <c r="AR50" s="117"/>
      <c r="AS50" s="117"/>
      <c r="AT50" s="117"/>
      <c r="AU50" s="117"/>
      <c r="AV50" s="117"/>
      <c r="AW50" s="117"/>
      <c r="AX50" s="117"/>
      <c r="AY50" s="117"/>
      <c r="AZ50" s="117"/>
      <c r="BA50" s="117"/>
      <c r="BB50" s="117"/>
      <c r="BC50" s="117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</row>
    <row r="51" spans="1:161" s="55" customFormat="1" ht="17.25" customHeight="1" x14ac:dyDescent="0.2">
      <c r="A51" s="4"/>
      <c r="B51" s="271" t="s">
        <v>110</v>
      </c>
      <c r="C51" s="271"/>
      <c r="D51" s="271"/>
      <c r="E51" s="271"/>
      <c r="F51" s="271"/>
      <c r="G51" s="271"/>
      <c r="H51" s="4"/>
      <c r="I51" s="167"/>
      <c r="J51" s="274"/>
      <c r="K51" s="274"/>
      <c r="L51" s="274"/>
      <c r="M51" s="274"/>
      <c r="N51" s="274"/>
      <c r="O51" s="274"/>
      <c r="P51" s="117"/>
      <c r="Q51" s="165"/>
      <c r="R51" s="165"/>
      <c r="S51" s="165"/>
      <c r="T51" s="165"/>
      <c r="U51" s="165"/>
      <c r="V51" s="165"/>
      <c r="W51" s="165"/>
      <c r="X51" s="165"/>
      <c r="Y51" s="165"/>
      <c r="Z51" s="165"/>
      <c r="AA51" s="165"/>
      <c r="AB51" s="165"/>
      <c r="AC51" s="165"/>
      <c r="AD51" s="165"/>
      <c r="AE51" s="165"/>
      <c r="AF51" s="165"/>
      <c r="AG51" s="165"/>
      <c r="AH51" s="165"/>
      <c r="AI51" s="165"/>
      <c r="AJ51" s="117"/>
      <c r="AK51" s="117"/>
      <c r="AL51" s="117"/>
      <c r="AM51" s="117"/>
      <c r="AN51" s="117"/>
      <c r="AO51" s="117"/>
      <c r="AP51" s="117"/>
      <c r="AQ51" s="117"/>
      <c r="AR51" s="117"/>
      <c r="AS51" s="117"/>
      <c r="AT51" s="117"/>
      <c r="AU51" s="117"/>
      <c r="AV51" s="117"/>
      <c r="AW51" s="117"/>
      <c r="AX51" s="117"/>
      <c r="AY51" s="117"/>
      <c r="AZ51" s="117"/>
      <c r="BA51" s="117"/>
      <c r="BB51" s="117"/>
      <c r="BC51" s="117"/>
      <c r="BD51" s="4"/>
      <c r="BE51" s="4"/>
      <c r="BF51" s="4"/>
      <c r="BG51" s="4"/>
      <c r="BH51" s="4"/>
      <c r="BI51" s="165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</row>
    <row r="52" spans="1:161" s="55" customFormat="1" ht="17.25" customHeight="1" x14ac:dyDescent="0.2">
      <c r="A52" s="4"/>
      <c r="B52" s="271" t="s">
        <v>191</v>
      </c>
      <c r="C52" s="271"/>
      <c r="D52" s="271"/>
      <c r="E52" s="271"/>
      <c r="F52" s="271"/>
      <c r="G52" s="271"/>
      <c r="H52" s="57"/>
      <c r="I52" s="4"/>
      <c r="J52" s="274"/>
      <c r="K52" s="274"/>
      <c r="L52" s="274"/>
      <c r="M52" s="274"/>
      <c r="N52" s="274"/>
      <c r="O52" s="274"/>
      <c r="P52" s="117"/>
      <c r="Q52" s="166"/>
      <c r="R52" s="166"/>
      <c r="S52" s="166"/>
      <c r="T52" s="166"/>
      <c r="U52" s="166"/>
      <c r="V52" s="166"/>
      <c r="W52" s="166"/>
      <c r="X52" s="166"/>
      <c r="Y52" s="166"/>
      <c r="Z52" s="166"/>
      <c r="AA52" s="166"/>
      <c r="AB52" s="166"/>
      <c r="AC52" s="166"/>
      <c r="AD52" s="166"/>
      <c r="AE52" s="166"/>
      <c r="AF52" s="166"/>
      <c r="AG52" s="166"/>
      <c r="AH52" s="166"/>
      <c r="AI52" s="166"/>
      <c r="AJ52" s="117"/>
      <c r="AK52" s="117"/>
      <c r="AL52" s="117"/>
      <c r="AM52" s="117"/>
      <c r="AN52" s="117"/>
      <c r="AO52" s="117"/>
      <c r="AP52" s="117"/>
      <c r="AQ52" s="117"/>
      <c r="AR52" s="117"/>
      <c r="AS52" s="117"/>
      <c r="AT52" s="117"/>
      <c r="AU52" s="117"/>
      <c r="AV52" s="117"/>
      <c r="AW52" s="117"/>
      <c r="AX52" s="117"/>
      <c r="AY52" s="117"/>
      <c r="AZ52" s="117"/>
      <c r="BA52" s="117"/>
      <c r="BB52" s="117"/>
      <c r="BC52" s="117"/>
      <c r="BD52" s="4"/>
      <c r="BE52" s="4"/>
      <c r="BF52" s="4"/>
      <c r="BG52" s="4"/>
      <c r="BH52" s="4"/>
      <c r="BI52" s="166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</row>
    <row r="53" spans="1:161" s="55" customFormat="1" ht="17.25" customHeight="1" x14ac:dyDescent="0.2">
      <c r="A53" s="4"/>
      <c r="B53" s="273" t="s">
        <v>233</v>
      </c>
      <c r="C53" s="273"/>
      <c r="D53" s="273"/>
      <c r="E53" s="273"/>
      <c r="F53" s="273"/>
      <c r="G53" s="273"/>
      <c r="H53" s="57"/>
      <c r="I53" s="4"/>
      <c r="J53" s="274"/>
      <c r="K53" s="274"/>
      <c r="L53" s="274"/>
      <c r="M53" s="274"/>
      <c r="N53" s="274"/>
      <c r="O53" s="274"/>
      <c r="P53" s="11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117"/>
      <c r="AK53" s="117"/>
      <c r="AL53" s="117"/>
      <c r="AM53" s="117"/>
      <c r="AN53" s="117"/>
      <c r="AO53" s="117"/>
      <c r="AP53" s="117"/>
      <c r="AQ53" s="117"/>
      <c r="AR53" s="117"/>
      <c r="AS53" s="117"/>
      <c r="AT53" s="117"/>
      <c r="AU53" s="117"/>
      <c r="AV53" s="117"/>
      <c r="AW53" s="117"/>
      <c r="AX53" s="117"/>
      <c r="AY53" s="117"/>
      <c r="AZ53" s="117"/>
      <c r="BA53" s="117"/>
      <c r="BB53" s="117"/>
      <c r="BC53" s="117"/>
      <c r="BD53" s="4"/>
      <c r="BE53" s="4"/>
      <c r="BF53" s="4"/>
      <c r="BG53" s="4"/>
      <c r="BH53" s="4"/>
      <c r="BI53" s="57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</row>
    <row r="54" spans="1:161" s="55" customFormat="1" ht="17.25" customHeight="1" x14ac:dyDescent="0.2">
      <c r="A54" s="4"/>
      <c r="B54" s="271" t="s">
        <v>111</v>
      </c>
      <c r="C54" s="271"/>
      <c r="D54" s="271"/>
      <c r="E54" s="271"/>
      <c r="F54" s="271"/>
      <c r="H54" s="57"/>
      <c r="I54" s="167"/>
      <c r="J54" s="280"/>
      <c r="K54" s="280"/>
      <c r="L54" s="280"/>
      <c r="M54" s="280"/>
      <c r="N54" s="280"/>
      <c r="O54" s="280"/>
      <c r="P54" s="117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117"/>
      <c r="AK54" s="117"/>
      <c r="AL54" s="117"/>
      <c r="AM54" s="117"/>
      <c r="AN54" s="117"/>
      <c r="AO54" s="117"/>
      <c r="AP54" s="117"/>
      <c r="AQ54" s="117"/>
      <c r="AR54" s="117"/>
      <c r="AS54" s="117"/>
      <c r="AT54" s="117"/>
      <c r="AU54" s="117"/>
      <c r="AV54" s="117"/>
      <c r="AW54" s="117"/>
      <c r="AX54" s="117"/>
      <c r="AY54" s="117"/>
      <c r="AZ54" s="117"/>
      <c r="BA54" s="117"/>
      <c r="BB54" s="117"/>
      <c r="BC54" s="117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</row>
    <row r="55" spans="1:161" s="55" customFormat="1" ht="17.25" customHeight="1" x14ac:dyDescent="0.2">
      <c r="A55" s="4"/>
      <c r="H55" s="4"/>
      <c r="I55" s="4"/>
      <c r="J55" s="280"/>
      <c r="K55" s="280"/>
      <c r="L55" s="280"/>
      <c r="M55" s="280"/>
      <c r="N55" s="280"/>
      <c r="O55" s="280"/>
      <c r="P55" s="11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I55" s="57"/>
      <c r="AJ55" s="117"/>
      <c r="AK55" s="117"/>
      <c r="AL55" s="117"/>
      <c r="AM55" s="117"/>
      <c r="AN55" s="117"/>
      <c r="AO55" s="117"/>
      <c r="AP55" s="117"/>
      <c r="AQ55" s="117"/>
      <c r="AR55" s="117"/>
      <c r="AS55" s="117"/>
      <c r="AT55" s="117"/>
      <c r="AU55" s="117"/>
      <c r="AV55" s="117"/>
      <c r="AW55" s="117"/>
      <c r="AX55" s="117"/>
      <c r="AY55" s="117"/>
      <c r="AZ55" s="117"/>
      <c r="BA55" s="117"/>
      <c r="BB55" s="117"/>
      <c r="BC55" s="117"/>
      <c r="BD55" s="4"/>
      <c r="BE55" s="4"/>
      <c r="BF55" s="4"/>
      <c r="BG55" s="4"/>
      <c r="BH55" s="4"/>
      <c r="BI55" s="57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</row>
    <row r="56" spans="1:161" s="55" customFormat="1" ht="17.25" customHeight="1" x14ac:dyDescent="0.2">
      <c r="A56" s="4"/>
      <c r="H56" s="4"/>
      <c r="J56" s="280"/>
      <c r="K56" s="280"/>
      <c r="L56" s="280"/>
      <c r="M56" s="280"/>
      <c r="N56" s="280"/>
      <c r="O56" s="280"/>
      <c r="P56" s="117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117"/>
      <c r="AK56" s="117"/>
      <c r="AL56" s="117"/>
      <c r="AM56" s="117"/>
      <c r="AN56" s="117"/>
      <c r="AO56" s="117"/>
      <c r="AP56" s="117"/>
      <c r="AQ56" s="117"/>
      <c r="AR56" s="117"/>
      <c r="AS56" s="117"/>
      <c r="AT56" s="117"/>
      <c r="AU56" s="117"/>
      <c r="AV56" s="117"/>
      <c r="AW56" s="117"/>
      <c r="AX56" s="117"/>
      <c r="AY56" s="117"/>
      <c r="AZ56" s="117"/>
      <c r="BA56" s="117"/>
      <c r="BB56" s="117"/>
      <c r="BC56" s="117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</row>
    <row r="57" spans="1:161" s="55" customFormat="1" ht="17.25" customHeight="1" x14ac:dyDescent="0.2">
      <c r="A57" s="4"/>
      <c r="H57" s="120"/>
      <c r="P57" s="11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117"/>
      <c r="AK57" s="117"/>
      <c r="AL57" s="117"/>
      <c r="AM57" s="117"/>
      <c r="AN57" s="117"/>
      <c r="AO57" s="117"/>
      <c r="AP57" s="117"/>
      <c r="AQ57" s="117"/>
      <c r="AR57" s="117"/>
      <c r="AS57" s="117"/>
      <c r="AT57" s="117"/>
      <c r="AU57" s="117"/>
      <c r="AV57" s="117"/>
      <c r="AW57" s="117"/>
      <c r="AX57" s="117"/>
      <c r="AY57" s="117"/>
      <c r="AZ57" s="117"/>
      <c r="BA57" s="117"/>
      <c r="BB57" s="117"/>
      <c r="BC57" s="117"/>
      <c r="BD57" s="4"/>
      <c r="BE57" s="4"/>
      <c r="BF57" s="4"/>
      <c r="BG57" s="4"/>
      <c r="BH57" s="4"/>
      <c r="BI57" s="57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</row>
    <row r="58" spans="1:161" s="55" customFormat="1" ht="17.25" customHeight="1" x14ac:dyDescent="0.2">
      <c r="A58" s="4"/>
      <c r="H58" s="120"/>
      <c r="I58" s="54"/>
      <c r="J58" s="96"/>
      <c r="K58" s="96"/>
      <c r="L58" s="96"/>
      <c r="M58" s="96"/>
      <c r="N58" s="96"/>
      <c r="O58" s="96"/>
      <c r="P58" s="117"/>
      <c r="Q58" s="122"/>
      <c r="R58" s="122"/>
      <c r="S58" s="122"/>
      <c r="T58" s="122"/>
      <c r="U58" s="122"/>
      <c r="V58" s="122"/>
      <c r="W58" s="122"/>
      <c r="X58" s="122"/>
      <c r="Y58" s="122"/>
      <c r="Z58" s="122"/>
      <c r="AA58" s="122"/>
      <c r="AB58" s="122"/>
      <c r="AC58" s="122"/>
      <c r="AD58" s="122"/>
      <c r="AE58" s="122"/>
      <c r="AF58" s="122"/>
      <c r="AG58" s="122"/>
      <c r="AH58" s="122"/>
      <c r="AI58" s="122"/>
      <c r="AJ58" s="117"/>
      <c r="AK58" s="117"/>
      <c r="AL58" s="117"/>
      <c r="AM58" s="117"/>
      <c r="AN58" s="117"/>
      <c r="AO58" s="117"/>
      <c r="AP58" s="117"/>
      <c r="AQ58" s="117"/>
      <c r="AR58" s="117"/>
      <c r="AS58" s="117"/>
      <c r="AT58" s="117"/>
      <c r="AU58" s="117"/>
      <c r="AV58" s="117"/>
      <c r="AW58" s="117"/>
      <c r="AX58" s="117"/>
      <c r="AY58" s="117"/>
      <c r="AZ58" s="117"/>
      <c r="BA58" s="117"/>
      <c r="BB58" s="117"/>
      <c r="BC58" s="117"/>
      <c r="BD58" s="4"/>
      <c r="BE58" s="4"/>
      <c r="BF58" s="4"/>
      <c r="BG58" s="4"/>
      <c r="BH58" s="4"/>
      <c r="BI58" s="122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</row>
    <row r="59" spans="1:161" s="55" customFormat="1" ht="17.25" customHeight="1" x14ac:dyDescent="0.2">
      <c r="A59" s="4"/>
      <c r="H59" s="221"/>
      <c r="I59" s="4"/>
      <c r="J59" s="96"/>
      <c r="K59" s="96"/>
      <c r="L59" s="96"/>
      <c r="M59" s="96"/>
      <c r="N59" s="96"/>
      <c r="O59" s="96"/>
      <c r="P59" s="117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117"/>
      <c r="AK59" s="117"/>
      <c r="AL59" s="117"/>
      <c r="AM59" s="117"/>
      <c r="AN59" s="117"/>
      <c r="AO59" s="117"/>
      <c r="AP59" s="117"/>
      <c r="AQ59" s="117"/>
      <c r="AR59" s="117"/>
      <c r="AS59" s="117"/>
      <c r="AT59" s="117"/>
      <c r="AU59" s="117"/>
      <c r="AV59" s="117"/>
      <c r="AW59" s="117"/>
      <c r="AX59" s="117"/>
      <c r="AY59" s="117"/>
      <c r="AZ59" s="117"/>
      <c r="BA59" s="117"/>
      <c r="BB59" s="117"/>
      <c r="BC59" s="117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</row>
    <row r="60" spans="1:161" s="55" customFormat="1" ht="17.25" customHeight="1" x14ac:dyDescent="0.2">
      <c r="A60" s="4"/>
      <c r="B60" s="40"/>
      <c r="C60" s="40"/>
      <c r="D60" s="40"/>
      <c r="E60" s="40"/>
      <c r="F60" s="40"/>
      <c r="G60" s="40"/>
      <c r="H60" s="40"/>
      <c r="I60" s="4"/>
      <c r="J60" s="4"/>
      <c r="K60" s="221"/>
      <c r="L60" s="221"/>
      <c r="M60" s="221"/>
      <c r="N60" s="221"/>
      <c r="O60" s="221"/>
      <c r="P60" s="4"/>
      <c r="Q60" s="117"/>
      <c r="R60" s="117"/>
      <c r="S60" s="117"/>
      <c r="T60" s="117"/>
      <c r="U60" s="117"/>
      <c r="V60" s="117"/>
      <c r="W60" s="117"/>
      <c r="X60" s="117"/>
      <c r="Y60" s="117"/>
      <c r="Z60" s="117"/>
      <c r="AA60" s="117"/>
      <c r="AB60" s="117"/>
      <c r="AC60" s="117"/>
      <c r="AD60" s="117"/>
      <c r="AE60" s="117"/>
      <c r="AF60" s="117"/>
      <c r="AG60" s="117"/>
      <c r="AH60" s="117"/>
      <c r="AI60" s="117"/>
      <c r="AJ60" s="117"/>
      <c r="AK60" s="117"/>
      <c r="AL60" s="117"/>
      <c r="AM60" s="117"/>
      <c r="AN60" s="117"/>
      <c r="AO60" s="117"/>
      <c r="AP60" s="117"/>
      <c r="AQ60" s="117"/>
      <c r="AR60" s="117"/>
      <c r="AS60" s="117"/>
      <c r="AT60" s="117"/>
      <c r="AU60" s="117"/>
      <c r="AV60" s="117"/>
      <c r="AW60" s="117"/>
      <c r="AX60" s="117"/>
      <c r="AY60" s="117"/>
      <c r="AZ60" s="117"/>
      <c r="BA60" s="117"/>
      <c r="BB60" s="117"/>
      <c r="BC60" s="117"/>
      <c r="BD60" s="117"/>
      <c r="BE60" s="117"/>
      <c r="BF60" s="117"/>
      <c r="BG60" s="4"/>
      <c r="BH60" s="4"/>
      <c r="BI60" s="117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</row>
    <row r="61" spans="1:161" s="55" customFormat="1" ht="17.25" customHeight="1" x14ac:dyDescent="0.2">
      <c r="A61" s="4"/>
      <c r="B61" s="40"/>
      <c r="C61" s="40"/>
      <c r="D61" s="40"/>
      <c r="E61" s="40"/>
      <c r="F61" s="40"/>
      <c r="G61" s="40"/>
      <c r="H61" s="40"/>
      <c r="I61" s="54"/>
      <c r="J61" s="220"/>
      <c r="K61" s="4"/>
      <c r="L61" s="89"/>
      <c r="M61" s="4"/>
      <c r="N61" s="117"/>
      <c r="O61" s="117"/>
      <c r="P61" s="4"/>
      <c r="Q61" s="117"/>
      <c r="R61" s="117"/>
      <c r="S61" s="117"/>
      <c r="T61" s="117"/>
      <c r="U61" s="117"/>
      <c r="V61" s="117"/>
      <c r="W61" s="117"/>
      <c r="X61" s="117"/>
      <c r="Y61" s="117"/>
      <c r="Z61" s="117"/>
      <c r="AA61" s="117"/>
      <c r="AB61" s="117"/>
      <c r="AC61" s="117"/>
      <c r="AD61" s="117"/>
      <c r="AE61" s="117"/>
      <c r="AF61" s="117"/>
      <c r="AG61" s="117"/>
      <c r="AH61" s="117"/>
      <c r="AI61" s="117"/>
      <c r="AJ61" s="117"/>
      <c r="AK61" s="117"/>
      <c r="AL61" s="117"/>
      <c r="AM61" s="117"/>
      <c r="AN61" s="117"/>
      <c r="AO61" s="117"/>
      <c r="AP61" s="117"/>
      <c r="AQ61" s="117"/>
      <c r="AR61" s="117"/>
      <c r="AS61" s="117"/>
      <c r="AT61" s="117"/>
      <c r="AU61" s="117"/>
      <c r="AV61" s="117"/>
      <c r="AW61" s="117"/>
      <c r="AX61" s="117"/>
      <c r="AY61" s="117"/>
      <c r="AZ61" s="117"/>
      <c r="BA61" s="117"/>
      <c r="BB61" s="117"/>
      <c r="BC61" s="117"/>
      <c r="BD61" s="117"/>
      <c r="BE61" s="117"/>
      <c r="BF61" s="117"/>
      <c r="BG61" s="4"/>
      <c r="BH61" s="4"/>
      <c r="BI61" s="117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</row>
    <row r="62" spans="1:161" s="55" customFormat="1" ht="17.25" customHeight="1" x14ac:dyDescent="0.2">
      <c r="A62" s="4"/>
      <c r="B62" s="40"/>
      <c r="C62" s="40"/>
      <c r="D62" s="40"/>
      <c r="E62" s="40"/>
      <c r="F62" s="40"/>
      <c r="G62" s="40"/>
      <c r="H62" s="40"/>
      <c r="I62" s="4"/>
      <c r="J62" s="4"/>
      <c r="K62" s="4"/>
      <c r="L62" s="4"/>
      <c r="M62" s="4"/>
      <c r="N62" s="4"/>
      <c r="O62" s="4"/>
      <c r="P62" s="117"/>
      <c r="Q62" s="117"/>
      <c r="R62" s="117"/>
      <c r="S62" s="117"/>
      <c r="T62" s="117"/>
      <c r="U62" s="117"/>
      <c r="V62" s="117"/>
      <c r="W62" s="117"/>
      <c r="X62" s="117"/>
      <c r="Y62" s="117"/>
      <c r="Z62" s="117"/>
      <c r="AA62" s="117"/>
      <c r="AB62" s="117"/>
      <c r="AC62" s="117"/>
      <c r="AD62" s="117"/>
      <c r="AE62" s="117"/>
      <c r="AF62" s="117"/>
      <c r="AG62" s="117"/>
      <c r="AH62" s="117"/>
      <c r="AI62" s="117"/>
      <c r="AJ62" s="117"/>
      <c r="AK62" s="117"/>
      <c r="AL62" s="117"/>
      <c r="AM62" s="117"/>
      <c r="AN62" s="117"/>
      <c r="AO62" s="117"/>
      <c r="AP62" s="117"/>
      <c r="AQ62" s="117"/>
      <c r="AR62" s="117"/>
      <c r="AS62" s="117"/>
      <c r="AT62" s="117"/>
      <c r="AU62" s="117"/>
      <c r="AV62" s="117"/>
      <c r="AW62" s="117"/>
      <c r="AX62" s="117"/>
      <c r="AY62" s="117"/>
      <c r="AZ62" s="117"/>
      <c r="BA62" s="117"/>
      <c r="BB62" s="117"/>
      <c r="BC62" s="117"/>
      <c r="BD62" s="4"/>
      <c r="BE62" s="4"/>
      <c r="BF62" s="4"/>
      <c r="BG62" s="4"/>
      <c r="BH62" s="4"/>
      <c r="BI62" s="117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</row>
    <row r="63" spans="1:161" s="55" customFormat="1" ht="18" customHeight="1" x14ac:dyDescent="0.2">
      <c r="A63" s="4"/>
      <c r="B63" s="272" t="s">
        <v>227</v>
      </c>
      <c r="C63" s="272"/>
      <c r="D63" s="272"/>
      <c r="E63" s="272"/>
      <c r="F63" s="272"/>
      <c r="G63" s="272"/>
      <c r="H63" s="102"/>
      <c r="I63" s="4"/>
      <c r="J63" s="4"/>
      <c r="K63" s="4"/>
      <c r="L63" s="4"/>
      <c r="M63" s="4"/>
      <c r="N63" s="4"/>
      <c r="O63" s="4"/>
      <c r="P63" s="4"/>
      <c r="Q63" s="117"/>
      <c r="R63" s="117"/>
      <c r="S63" s="117"/>
      <c r="T63" s="117"/>
      <c r="U63" s="117"/>
      <c r="V63" s="117"/>
      <c r="W63" s="117"/>
      <c r="X63" s="117"/>
      <c r="Y63" s="117"/>
      <c r="Z63" s="117"/>
      <c r="AA63" s="117"/>
      <c r="AB63" s="117"/>
      <c r="AC63" s="117"/>
      <c r="AD63" s="117"/>
      <c r="AE63" s="117"/>
      <c r="AF63" s="117"/>
      <c r="AG63" s="117"/>
      <c r="AH63" s="117"/>
      <c r="AI63" s="117"/>
      <c r="AJ63" s="117"/>
      <c r="AK63" s="117"/>
      <c r="AL63" s="117"/>
      <c r="AM63" s="117"/>
      <c r="AN63" s="117"/>
      <c r="AO63" s="117"/>
      <c r="AP63" s="117"/>
      <c r="AQ63" s="117"/>
      <c r="AR63" s="117"/>
      <c r="AS63" s="117"/>
      <c r="AT63" s="117"/>
      <c r="AU63" s="117"/>
      <c r="AV63" s="117"/>
      <c r="AW63" s="117"/>
      <c r="AX63" s="117"/>
      <c r="AY63" s="117"/>
      <c r="AZ63" s="117"/>
      <c r="BA63" s="117"/>
      <c r="BB63" s="117"/>
      <c r="BC63" s="117"/>
      <c r="BD63" s="117"/>
      <c r="BE63" s="117"/>
      <c r="BF63" s="117"/>
      <c r="BG63" s="4"/>
      <c r="BH63" s="4"/>
      <c r="BI63" s="117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</row>
    <row r="64" spans="1:161" s="55" customFormat="1" ht="18" customHeight="1" x14ac:dyDescent="0.2">
      <c r="A64" s="4"/>
      <c r="B64" s="272"/>
      <c r="C64" s="272"/>
      <c r="D64" s="272"/>
      <c r="E64" s="272"/>
      <c r="F64" s="272"/>
      <c r="G64" s="272"/>
      <c r="H64" s="102"/>
      <c r="I64" s="4"/>
      <c r="J64" s="4"/>
      <c r="K64" s="4"/>
      <c r="L64" s="4"/>
      <c r="M64" s="4"/>
      <c r="N64" s="4"/>
      <c r="O64" s="4"/>
      <c r="P64" s="4"/>
      <c r="Q64" s="117"/>
      <c r="R64" s="117"/>
      <c r="S64" s="117"/>
      <c r="T64" s="117"/>
      <c r="U64" s="117"/>
      <c r="V64" s="117"/>
      <c r="W64" s="117"/>
      <c r="X64" s="117"/>
      <c r="Y64" s="117"/>
      <c r="Z64" s="117"/>
      <c r="AA64" s="117"/>
      <c r="AB64" s="117"/>
      <c r="AC64" s="117"/>
      <c r="AD64" s="117"/>
      <c r="AE64" s="117"/>
      <c r="AF64" s="117"/>
      <c r="AG64" s="117"/>
      <c r="AH64" s="117"/>
      <c r="AI64" s="117"/>
      <c r="AJ64" s="117"/>
      <c r="AK64" s="117"/>
      <c r="AL64" s="117"/>
      <c r="AM64" s="117"/>
      <c r="AN64" s="117"/>
      <c r="AO64" s="117"/>
      <c r="AP64" s="117"/>
      <c r="AQ64" s="117"/>
      <c r="AR64" s="117"/>
      <c r="AS64" s="117"/>
      <c r="AT64" s="117"/>
      <c r="AU64" s="117"/>
      <c r="AV64" s="117"/>
      <c r="AW64" s="117"/>
      <c r="AX64" s="117"/>
      <c r="AY64" s="117"/>
      <c r="AZ64" s="117"/>
      <c r="BA64" s="117"/>
      <c r="BB64" s="117"/>
      <c r="BC64" s="117"/>
      <c r="BD64" s="117"/>
      <c r="BE64" s="117"/>
      <c r="BF64" s="117"/>
      <c r="BG64" s="4"/>
      <c r="BH64" s="4"/>
      <c r="BI64" s="117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</row>
    <row r="65" spans="1:459" s="55" customFormat="1" ht="18" customHeight="1" x14ac:dyDescent="0.2">
      <c r="A65" s="4"/>
      <c r="B65" s="272"/>
      <c r="C65" s="272"/>
      <c r="D65" s="272"/>
      <c r="E65" s="272"/>
      <c r="F65" s="272"/>
      <c r="G65" s="272"/>
      <c r="H65" s="102"/>
      <c r="I65" s="4"/>
      <c r="J65" s="4"/>
      <c r="K65" s="4"/>
      <c r="L65" s="4"/>
      <c r="M65" s="4"/>
      <c r="N65" s="4"/>
      <c r="O65" s="4"/>
      <c r="P65" s="117"/>
      <c r="Q65" s="117"/>
      <c r="R65" s="117"/>
      <c r="S65" s="117"/>
      <c r="T65" s="117"/>
      <c r="U65" s="117"/>
      <c r="V65" s="117"/>
      <c r="W65" s="117"/>
      <c r="X65" s="117"/>
      <c r="Y65" s="117"/>
      <c r="Z65" s="117"/>
      <c r="AA65" s="117"/>
      <c r="AB65" s="117"/>
      <c r="AC65" s="117"/>
      <c r="AD65" s="117"/>
      <c r="AE65" s="117"/>
      <c r="AF65" s="117"/>
      <c r="AG65" s="117"/>
      <c r="AH65" s="117"/>
      <c r="AI65" s="117"/>
      <c r="AJ65" s="117"/>
      <c r="AK65" s="117"/>
      <c r="AL65" s="117"/>
      <c r="AM65" s="117"/>
      <c r="AN65" s="117"/>
      <c r="AO65" s="117"/>
      <c r="AP65" s="117"/>
      <c r="AQ65" s="117"/>
      <c r="AR65" s="117"/>
      <c r="AS65" s="117"/>
      <c r="AT65" s="117"/>
      <c r="AU65" s="117"/>
      <c r="AV65" s="117"/>
      <c r="AW65" s="117"/>
      <c r="AX65" s="117"/>
      <c r="AY65" s="117"/>
      <c r="AZ65" s="117"/>
      <c r="BA65" s="117"/>
      <c r="BB65" s="117"/>
      <c r="BC65" s="117"/>
      <c r="BD65" s="4"/>
      <c r="BE65" s="4"/>
      <c r="BF65" s="4"/>
      <c r="BG65" s="4"/>
      <c r="BH65" s="4"/>
      <c r="BI65" s="117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</row>
    <row r="66" spans="1:459" s="55" customFormat="1" ht="18" customHeight="1" x14ac:dyDescent="0.2">
      <c r="A66" s="4"/>
      <c r="B66" s="272"/>
      <c r="C66" s="272"/>
      <c r="D66" s="272"/>
      <c r="E66" s="272"/>
      <c r="F66" s="272"/>
      <c r="G66" s="272"/>
      <c r="H66" s="102"/>
      <c r="I66" s="54"/>
      <c r="J66" s="220"/>
      <c r="K66" s="220"/>
      <c r="L66" s="220"/>
      <c r="M66" s="220"/>
      <c r="N66" s="220"/>
      <c r="O66" s="220"/>
      <c r="P66" s="4"/>
      <c r="Q66" s="117"/>
      <c r="R66" s="117"/>
      <c r="S66" s="117"/>
      <c r="T66" s="117"/>
      <c r="U66" s="117"/>
      <c r="V66" s="117"/>
      <c r="W66" s="117"/>
      <c r="X66" s="117"/>
      <c r="Y66" s="117"/>
      <c r="Z66" s="117"/>
      <c r="AA66" s="117"/>
      <c r="AB66" s="117"/>
      <c r="AC66" s="117"/>
      <c r="AD66" s="117"/>
      <c r="AE66" s="117"/>
      <c r="AF66" s="117"/>
      <c r="AG66" s="117"/>
      <c r="AH66" s="117"/>
      <c r="AI66" s="117"/>
      <c r="AJ66" s="117"/>
      <c r="AK66" s="117"/>
      <c r="AL66" s="117"/>
      <c r="AM66" s="117"/>
      <c r="AN66" s="117"/>
      <c r="AO66" s="117"/>
      <c r="AP66" s="117"/>
      <c r="AQ66" s="117"/>
      <c r="AR66" s="117"/>
      <c r="AS66" s="117"/>
      <c r="AT66" s="117"/>
      <c r="AU66" s="117"/>
      <c r="AV66" s="117"/>
      <c r="AW66" s="117"/>
      <c r="AX66" s="117"/>
      <c r="AY66" s="117"/>
      <c r="AZ66" s="117"/>
      <c r="BA66" s="117"/>
      <c r="BB66" s="117"/>
      <c r="BC66" s="117"/>
      <c r="BD66" s="117"/>
      <c r="BE66" s="117"/>
      <c r="BF66" s="117"/>
      <c r="BG66" s="4"/>
      <c r="BH66" s="4"/>
      <c r="BI66" s="117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</row>
    <row r="67" spans="1:459" s="55" customFormat="1" ht="18" customHeight="1" x14ac:dyDescent="0.2">
      <c r="A67" s="4"/>
      <c r="B67" s="272"/>
      <c r="C67" s="272"/>
      <c r="D67" s="272"/>
      <c r="E67" s="272"/>
      <c r="F67" s="272"/>
      <c r="G67" s="272"/>
      <c r="H67" s="102"/>
      <c r="I67" s="54"/>
      <c r="J67" s="221"/>
      <c r="K67" s="221"/>
      <c r="L67" s="221"/>
      <c r="M67" s="221"/>
      <c r="N67" s="221"/>
      <c r="O67" s="221"/>
      <c r="P67" s="4"/>
      <c r="Q67" s="117"/>
      <c r="R67" s="117"/>
      <c r="S67" s="117"/>
      <c r="T67" s="117"/>
      <c r="U67" s="117"/>
      <c r="V67" s="117"/>
      <c r="W67" s="117"/>
      <c r="X67" s="117"/>
      <c r="Y67" s="117"/>
      <c r="Z67" s="117"/>
      <c r="AA67" s="117"/>
      <c r="AB67" s="117"/>
      <c r="AC67" s="117"/>
      <c r="AD67" s="117"/>
      <c r="AE67" s="117"/>
      <c r="AF67" s="117"/>
      <c r="AG67" s="117"/>
      <c r="AH67" s="117"/>
      <c r="AI67" s="117"/>
      <c r="AJ67" s="117"/>
      <c r="AK67" s="117"/>
      <c r="AL67" s="117"/>
      <c r="AM67" s="117"/>
      <c r="AN67" s="117"/>
      <c r="AO67" s="117"/>
      <c r="AP67" s="117"/>
      <c r="AQ67" s="117"/>
      <c r="AR67" s="117"/>
      <c r="AS67" s="117"/>
      <c r="AT67" s="117"/>
      <c r="AU67" s="117"/>
      <c r="AV67" s="117"/>
      <c r="AW67" s="117"/>
      <c r="AX67" s="117"/>
      <c r="AY67" s="117"/>
      <c r="AZ67" s="117"/>
      <c r="BA67" s="117"/>
      <c r="BB67" s="117"/>
      <c r="BC67" s="117"/>
      <c r="BD67" s="117"/>
      <c r="BE67" s="117"/>
      <c r="BF67" s="117"/>
      <c r="BG67" s="4"/>
      <c r="BH67" s="4"/>
      <c r="BI67" s="117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</row>
    <row r="68" spans="1:459" s="55" customFormat="1" ht="18" customHeight="1" x14ac:dyDescent="0.25">
      <c r="A68" s="4"/>
      <c r="B68" s="272"/>
      <c r="C68" s="272"/>
      <c r="D68" s="272"/>
      <c r="E68" s="272"/>
      <c r="F68" s="272"/>
      <c r="G68" s="272"/>
      <c r="H68" s="102"/>
      <c r="I68" s="21"/>
      <c r="J68" s="38"/>
      <c r="K68" s="221"/>
      <c r="L68" s="221"/>
      <c r="M68" s="58"/>
      <c r="N68" s="58"/>
      <c r="O68" s="58"/>
      <c r="P68" s="4"/>
      <c r="Q68" s="117"/>
      <c r="R68" s="117"/>
      <c r="S68" s="117"/>
      <c r="T68" s="117"/>
      <c r="U68" s="117"/>
      <c r="V68" s="117"/>
      <c r="W68" s="117"/>
      <c r="X68" s="117"/>
      <c r="Y68" s="117"/>
      <c r="Z68" s="117"/>
      <c r="AA68" s="117"/>
      <c r="AB68" s="117"/>
      <c r="AC68" s="117"/>
      <c r="AD68" s="117"/>
      <c r="AE68" s="117"/>
      <c r="AF68" s="117"/>
      <c r="AG68" s="117"/>
      <c r="AH68" s="117"/>
      <c r="AI68" s="117"/>
      <c r="AJ68" s="117"/>
      <c r="AK68" s="117"/>
      <c r="AL68" s="117"/>
      <c r="AM68" s="117"/>
      <c r="AN68" s="117"/>
      <c r="AO68" s="117"/>
      <c r="AP68" s="117"/>
      <c r="AQ68" s="117"/>
      <c r="AR68" s="117"/>
      <c r="AS68" s="117"/>
      <c r="AT68" s="117"/>
      <c r="AU68" s="117"/>
      <c r="AV68" s="117"/>
      <c r="AW68" s="117"/>
      <c r="AX68" s="117"/>
      <c r="AY68" s="117"/>
      <c r="AZ68" s="117"/>
      <c r="BA68" s="117"/>
      <c r="BB68" s="117"/>
      <c r="BC68" s="117"/>
      <c r="BD68" s="117"/>
      <c r="BE68" s="117"/>
      <c r="BF68" s="117"/>
      <c r="BG68" s="4"/>
      <c r="BH68" s="4"/>
      <c r="BI68" s="117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</row>
    <row r="69" spans="1:459" s="55" customFormat="1" ht="21.75" customHeight="1" x14ac:dyDescent="0.25">
      <c r="A69" s="4"/>
      <c r="B69" s="272"/>
      <c r="C69" s="272"/>
      <c r="D69" s="272"/>
      <c r="E69" s="272"/>
      <c r="F69" s="272"/>
      <c r="G69" s="272"/>
      <c r="H69" s="102"/>
      <c r="I69" s="21"/>
      <c r="J69" s="38"/>
      <c r="K69" s="221"/>
      <c r="L69" s="221"/>
      <c r="M69" s="58"/>
      <c r="N69" s="58"/>
      <c r="O69" s="58"/>
      <c r="P69" s="4"/>
      <c r="Q69" s="117"/>
      <c r="R69" s="117"/>
      <c r="S69" s="117"/>
      <c r="T69" s="117"/>
      <c r="U69" s="117"/>
      <c r="V69" s="117"/>
      <c r="W69" s="117"/>
      <c r="X69" s="117"/>
      <c r="Y69" s="117"/>
      <c r="Z69" s="117"/>
      <c r="AA69" s="117"/>
      <c r="AB69" s="117"/>
      <c r="AC69" s="117"/>
      <c r="AD69" s="117"/>
      <c r="AE69" s="117"/>
      <c r="AF69" s="117"/>
      <c r="AG69" s="117"/>
      <c r="AH69" s="117"/>
      <c r="AI69" s="117"/>
      <c r="AJ69" s="117"/>
      <c r="AK69" s="117"/>
      <c r="AL69" s="117"/>
      <c r="AM69" s="117"/>
      <c r="AN69" s="117"/>
      <c r="AO69" s="117"/>
      <c r="AP69" s="117"/>
      <c r="AQ69" s="117"/>
      <c r="AR69" s="117"/>
      <c r="AS69" s="117"/>
      <c r="AT69" s="117"/>
      <c r="AU69" s="117"/>
      <c r="AV69" s="117"/>
      <c r="AW69" s="117"/>
      <c r="AX69" s="117"/>
      <c r="AY69" s="117"/>
      <c r="AZ69" s="117"/>
      <c r="BA69" s="117"/>
      <c r="BB69" s="117"/>
      <c r="BC69" s="117"/>
      <c r="BD69" s="117"/>
      <c r="BE69" s="117"/>
      <c r="BF69" s="117"/>
      <c r="BG69" s="4"/>
      <c r="BH69" s="4"/>
      <c r="BI69" s="117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</row>
    <row r="70" spans="1:459" s="55" customFormat="1" ht="6.75" customHeight="1" x14ac:dyDescent="0.25">
      <c r="A70" s="4"/>
      <c r="B70" s="102"/>
      <c r="C70" s="102"/>
      <c r="D70" s="102"/>
      <c r="E70" s="102"/>
      <c r="F70" s="102"/>
      <c r="G70" s="102"/>
      <c r="H70" s="102"/>
      <c r="I70" s="21"/>
      <c r="J70" s="38"/>
      <c r="K70" s="4"/>
      <c r="L70" s="4"/>
      <c r="M70" s="37"/>
      <c r="N70" s="37"/>
      <c r="O70" s="37"/>
      <c r="P70" s="4"/>
      <c r="Q70" s="117"/>
      <c r="R70" s="117"/>
      <c r="S70" s="117"/>
      <c r="T70" s="117"/>
      <c r="U70" s="117"/>
      <c r="V70" s="117"/>
      <c r="W70" s="117"/>
      <c r="X70" s="117"/>
      <c r="Y70" s="117"/>
      <c r="Z70" s="117"/>
      <c r="AA70" s="117"/>
      <c r="AB70" s="117"/>
      <c r="AC70" s="117"/>
      <c r="AD70" s="117"/>
      <c r="AE70" s="117"/>
      <c r="AF70" s="117"/>
      <c r="AG70" s="117"/>
      <c r="AH70" s="117"/>
      <c r="AI70" s="117"/>
      <c r="AJ70" s="117"/>
      <c r="AK70" s="117"/>
      <c r="AL70" s="117"/>
      <c r="AM70" s="117"/>
      <c r="AN70" s="117"/>
      <c r="AO70" s="117"/>
      <c r="AP70" s="117"/>
      <c r="AQ70" s="117"/>
      <c r="AR70" s="117"/>
      <c r="AS70" s="117"/>
      <c r="AT70" s="117"/>
      <c r="AU70" s="117"/>
      <c r="AV70" s="117"/>
      <c r="AW70" s="117"/>
      <c r="AX70" s="117"/>
      <c r="AY70" s="117"/>
      <c r="AZ70" s="117"/>
      <c r="BA70" s="117"/>
      <c r="BB70" s="117"/>
      <c r="BC70" s="117"/>
      <c r="BD70" s="117"/>
      <c r="BE70" s="117"/>
      <c r="BF70" s="117"/>
      <c r="BG70" s="4"/>
      <c r="BH70" s="4"/>
      <c r="BI70" s="117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</row>
    <row r="72" spans="1:459" s="117" customFormat="1" ht="15" customHeight="1" x14ac:dyDescent="0.2">
      <c r="A72" s="4"/>
      <c r="B72" s="247" t="s">
        <v>234</v>
      </c>
      <c r="C72" s="247"/>
      <c r="D72" s="247"/>
      <c r="E72" s="247"/>
      <c r="F72" s="247"/>
      <c r="G72" s="247"/>
      <c r="H72" s="247"/>
      <c r="I72" s="247"/>
      <c r="J72" s="247"/>
      <c r="K72" s="247"/>
      <c r="L72" s="247"/>
      <c r="M72" s="247"/>
      <c r="N72" s="247"/>
      <c r="O72" s="247"/>
      <c r="Q72" s="284"/>
      <c r="R72" s="285"/>
      <c r="S72" s="285"/>
      <c r="T72" s="285"/>
      <c r="U72" s="285"/>
      <c r="V72" s="285"/>
      <c r="W72" s="285"/>
      <c r="X72" s="285"/>
      <c r="Y72" s="285"/>
      <c r="Z72" s="285"/>
      <c r="AA72" s="285"/>
      <c r="AB72" s="285"/>
      <c r="AC72" s="285"/>
      <c r="AD72" s="285"/>
      <c r="AE72" s="285"/>
      <c r="AF72" s="285"/>
      <c r="AG72" s="285"/>
      <c r="AH72" s="285"/>
      <c r="AI72" s="285"/>
      <c r="AJ72" s="285"/>
      <c r="AK72" s="285"/>
      <c r="AL72" s="285"/>
      <c r="AM72" s="285"/>
      <c r="AN72" s="285"/>
      <c r="AO72" s="285"/>
      <c r="AP72" s="285"/>
      <c r="AQ72" s="285"/>
      <c r="AR72" s="285"/>
      <c r="AS72" s="285"/>
      <c r="AT72" s="285"/>
      <c r="AU72" s="285"/>
      <c r="AV72" s="285"/>
      <c r="AW72" s="285"/>
      <c r="AX72" s="285"/>
      <c r="AY72" s="285"/>
      <c r="AZ72" s="285"/>
      <c r="BA72" s="285"/>
      <c r="BB72" s="285"/>
      <c r="BC72" s="285"/>
      <c r="BD72" s="285"/>
      <c r="BE72" s="285"/>
      <c r="BF72" s="285"/>
      <c r="BG72" s="285"/>
      <c r="BH72" s="285"/>
      <c r="BI72" s="285"/>
      <c r="BJ72" s="285"/>
      <c r="BK72" s="285"/>
      <c r="BL72" s="285"/>
      <c r="BM72" s="285"/>
      <c r="BN72" s="285"/>
      <c r="BO72" s="285"/>
      <c r="BP72" s="285"/>
      <c r="BQ72" s="285"/>
      <c r="BR72" s="285"/>
      <c r="BS72" s="285"/>
      <c r="BT72" s="285"/>
      <c r="BU72" s="285"/>
      <c r="BV72" s="285"/>
      <c r="BW72" s="285"/>
      <c r="BX72" s="285"/>
      <c r="BY72" s="285"/>
      <c r="BZ72" s="285"/>
      <c r="CA72" s="285"/>
      <c r="CB72" s="285"/>
      <c r="CC72" s="285"/>
      <c r="CD72" s="285"/>
      <c r="CE72" s="285"/>
      <c r="CF72" s="285"/>
      <c r="CG72" s="285"/>
      <c r="CH72" s="285"/>
      <c r="CI72" s="285"/>
      <c r="CJ72" s="285"/>
      <c r="CK72" s="285"/>
      <c r="CL72" s="285"/>
      <c r="CM72" s="285"/>
      <c r="CN72" s="285"/>
      <c r="CO72" s="285"/>
      <c r="CP72" s="285"/>
      <c r="CQ72" s="285"/>
      <c r="CR72" s="285"/>
      <c r="CS72" s="285"/>
      <c r="CT72" s="285"/>
      <c r="CU72" s="285"/>
      <c r="CV72" s="285"/>
      <c r="CW72" s="285"/>
      <c r="CX72" s="285"/>
      <c r="CY72" s="285"/>
      <c r="CZ72" s="285"/>
      <c r="DA72" s="285"/>
      <c r="DB72" s="285"/>
      <c r="DC72" s="285"/>
      <c r="DD72" s="285"/>
      <c r="DE72" s="285"/>
      <c r="DF72" s="285"/>
      <c r="DG72" s="285"/>
      <c r="DH72" s="285"/>
      <c r="DI72" s="285"/>
      <c r="DJ72" s="285"/>
      <c r="DK72" s="285"/>
      <c r="DL72" s="285"/>
      <c r="DM72" s="285"/>
      <c r="DN72" s="285"/>
      <c r="DO72" s="285"/>
      <c r="DP72" s="285"/>
      <c r="DQ72" s="285"/>
      <c r="DR72" s="285"/>
      <c r="DS72" s="285"/>
      <c r="DT72" s="285"/>
      <c r="DU72" s="285"/>
      <c r="DV72" s="285"/>
      <c r="DW72" s="285"/>
      <c r="DX72" s="285"/>
      <c r="DY72" s="285"/>
      <c r="DZ72" s="285"/>
      <c r="EA72" s="285"/>
      <c r="EB72" s="285"/>
      <c r="EC72" s="285"/>
      <c r="ED72" s="285"/>
      <c r="EE72" s="285"/>
      <c r="EF72" s="285"/>
      <c r="EG72" s="285"/>
      <c r="EH72" s="285"/>
      <c r="EI72" s="285"/>
      <c r="EJ72" s="285"/>
      <c r="EK72" s="285"/>
      <c r="EL72" s="285"/>
      <c r="EM72" s="285"/>
      <c r="EN72" s="285"/>
      <c r="EO72" s="285"/>
      <c r="EP72" s="285"/>
      <c r="EQ72" s="285"/>
      <c r="ER72" s="285"/>
      <c r="ES72" s="285"/>
      <c r="ET72" s="285"/>
      <c r="EU72" s="285"/>
      <c r="EV72" s="285"/>
      <c r="EW72" s="285"/>
      <c r="EX72" s="285"/>
      <c r="EY72" s="285"/>
      <c r="EZ72" s="285"/>
      <c r="FA72" s="285"/>
      <c r="FB72" s="285"/>
      <c r="FC72" s="285"/>
      <c r="FD72" s="285"/>
      <c r="FE72" s="285"/>
      <c r="FF72" s="285"/>
      <c r="FG72" s="285"/>
      <c r="FH72" s="285"/>
      <c r="FI72" s="285"/>
      <c r="FJ72" s="285"/>
      <c r="FK72" s="285"/>
      <c r="FL72" s="285"/>
      <c r="FM72" s="285"/>
      <c r="FN72" s="285"/>
      <c r="FO72" s="285"/>
      <c r="FP72" s="285"/>
      <c r="FQ72" s="285"/>
      <c r="FR72" s="285"/>
      <c r="FS72" s="285"/>
      <c r="FT72" s="285"/>
      <c r="FU72" s="285"/>
      <c r="FV72" s="285"/>
      <c r="FW72" s="285"/>
      <c r="FX72" s="285"/>
      <c r="FY72" s="285"/>
      <c r="FZ72" s="285"/>
      <c r="GA72" s="285"/>
      <c r="GB72" s="285"/>
      <c r="GC72" s="285"/>
      <c r="GD72" s="285"/>
      <c r="GE72" s="285"/>
      <c r="GF72" s="285"/>
      <c r="GG72" s="285"/>
      <c r="GH72" s="285"/>
      <c r="GI72" s="285"/>
      <c r="GJ72" s="285"/>
      <c r="GK72" s="285"/>
      <c r="GL72" s="285"/>
      <c r="GM72" s="285"/>
      <c r="GN72" s="285"/>
      <c r="GO72" s="285"/>
      <c r="GP72" s="285"/>
      <c r="GQ72" s="285"/>
      <c r="GR72" s="285"/>
      <c r="GS72" s="285"/>
      <c r="GT72" s="285"/>
      <c r="GU72" s="285"/>
      <c r="GV72" s="285"/>
      <c r="GW72" s="285"/>
      <c r="GX72" s="285"/>
      <c r="GY72" s="285"/>
      <c r="GZ72" s="285"/>
      <c r="HA72" s="285"/>
      <c r="HB72" s="285"/>
      <c r="HC72" s="285"/>
      <c r="HD72" s="285"/>
      <c r="HE72" s="285"/>
      <c r="HF72" s="285"/>
      <c r="HG72" s="285"/>
      <c r="HH72" s="285"/>
      <c r="HI72" s="285"/>
      <c r="HJ72" s="285"/>
      <c r="HK72" s="285"/>
      <c r="HL72" s="285"/>
      <c r="HM72" s="285"/>
      <c r="HN72" s="285"/>
      <c r="HO72" s="285"/>
      <c r="HP72" s="285"/>
      <c r="HQ72" s="285"/>
      <c r="HR72" s="285"/>
      <c r="HS72" s="285"/>
      <c r="HT72" s="285"/>
      <c r="HU72" s="285"/>
      <c r="HV72" s="285"/>
      <c r="HW72" s="285"/>
      <c r="HX72" s="285"/>
      <c r="HY72" s="285"/>
      <c r="HZ72" s="285"/>
      <c r="IA72" s="285"/>
      <c r="IB72" s="285"/>
      <c r="IC72" s="285"/>
      <c r="ID72" s="285"/>
      <c r="IE72" s="285"/>
      <c r="IF72" s="285"/>
      <c r="IG72" s="285"/>
      <c r="IH72" s="285"/>
      <c r="II72" s="285"/>
      <c r="IJ72" s="285"/>
      <c r="IK72" s="285"/>
      <c r="IL72" s="285"/>
      <c r="IM72" s="285"/>
      <c r="IN72" s="285"/>
      <c r="IO72" s="285"/>
      <c r="IP72" s="285"/>
      <c r="IQ72" s="285"/>
      <c r="IR72" s="285"/>
      <c r="IS72" s="285"/>
      <c r="IT72" s="285"/>
      <c r="IU72" s="285"/>
      <c r="IV72" s="285"/>
      <c r="IW72" s="285"/>
      <c r="IX72" s="285"/>
      <c r="IY72" s="285"/>
      <c r="IZ72" s="285"/>
      <c r="JA72" s="285"/>
      <c r="JB72" s="285"/>
      <c r="JC72" s="285"/>
      <c r="JD72" s="285"/>
      <c r="JE72" s="285"/>
      <c r="JF72" s="285"/>
      <c r="JG72" s="285"/>
      <c r="JH72" s="285"/>
      <c r="JI72" s="285"/>
      <c r="JJ72" s="285"/>
      <c r="JK72" s="285"/>
      <c r="JL72" s="285"/>
      <c r="JM72" s="285"/>
      <c r="JN72" s="285"/>
      <c r="JO72" s="285"/>
      <c r="JP72" s="285"/>
      <c r="JQ72" s="285"/>
      <c r="JR72" s="285"/>
      <c r="JS72" s="285"/>
      <c r="JT72" s="285"/>
      <c r="JU72" s="285"/>
      <c r="JV72" s="285"/>
      <c r="JW72" s="285"/>
      <c r="JX72" s="285"/>
      <c r="JY72" s="285"/>
      <c r="JZ72" s="285"/>
      <c r="KA72" s="285"/>
      <c r="KB72" s="285"/>
      <c r="KC72" s="285"/>
      <c r="KD72" s="285"/>
      <c r="KE72" s="285"/>
      <c r="KF72" s="285"/>
      <c r="KG72" s="285"/>
      <c r="KH72" s="285"/>
      <c r="KI72" s="285"/>
      <c r="KJ72" s="285"/>
      <c r="KK72" s="285"/>
      <c r="KL72" s="285"/>
      <c r="KM72" s="285"/>
      <c r="KN72" s="285"/>
      <c r="KO72" s="285"/>
      <c r="KP72" s="285"/>
      <c r="KQ72" s="285"/>
      <c r="KR72" s="285"/>
      <c r="KS72" s="285"/>
      <c r="KT72" s="285"/>
      <c r="KU72" s="285"/>
      <c r="KV72" s="285"/>
      <c r="KW72" s="285"/>
      <c r="KX72" s="285"/>
      <c r="KY72" s="285"/>
      <c r="KZ72" s="285"/>
      <c r="LA72" s="285"/>
      <c r="LB72" s="285"/>
      <c r="LC72" s="285"/>
      <c r="LD72" s="285"/>
      <c r="LE72" s="285"/>
      <c r="LF72" s="285"/>
      <c r="LG72" s="285"/>
      <c r="LH72" s="285"/>
      <c r="LI72" s="285"/>
      <c r="LJ72" s="285"/>
      <c r="LK72" s="285"/>
      <c r="LL72" s="285"/>
      <c r="LM72" s="285"/>
      <c r="LN72" s="285"/>
      <c r="LO72" s="285"/>
      <c r="LP72" s="285"/>
      <c r="LQ72" s="285"/>
      <c r="LR72" s="285"/>
      <c r="LS72" s="285"/>
      <c r="LT72" s="285"/>
      <c r="LU72" s="285"/>
      <c r="LV72" s="285"/>
      <c r="LW72" s="285"/>
      <c r="LX72" s="285"/>
      <c r="LY72" s="285"/>
      <c r="LZ72" s="285"/>
      <c r="MA72" s="285"/>
      <c r="MB72" s="285"/>
      <c r="MC72" s="285"/>
      <c r="MD72" s="285"/>
      <c r="ME72" s="285"/>
      <c r="MF72" s="285"/>
      <c r="MG72" s="285"/>
      <c r="MH72" s="285"/>
      <c r="MI72" s="285"/>
      <c r="MJ72" s="285"/>
      <c r="MK72" s="285"/>
      <c r="ML72" s="285"/>
      <c r="MM72" s="285"/>
      <c r="MN72" s="285"/>
      <c r="MO72" s="285"/>
      <c r="MP72" s="285"/>
      <c r="MQ72" s="285"/>
      <c r="MR72" s="285"/>
      <c r="MS72" s="285"/>
      <c r="MT72" s="285"/>
      <c r="MU72" s="285"/>
      <c r="MV72" s="285"/>
      <c r="MW72" s="285"/>
      <c r="MX72" s="285"/>
      <c r="MY72" s="285"/>
      <c r="MZ72" s="285"/>
      <c r="NA72" s="285"/>
      <c r="NB72" s="285"/>
      <c r="NC72" s="285"/>
      <c r="ND72" s="285"/>
      <c r="NE72" s="285"/>
      <c r="NF72" s="285"/>
      <c r="NG72" s="285"/>
      <c r="NH72" s="285"/>
      <c r="NI72" s="285"/>
      <c r="NJ72" s="285"/>
      <c r="NK72" s="285"/>
      <c r="NL72" s="285"/>
      <c r="NM72" s="285"/>
      <c r="NN72" s="285"/>
      <c r="NO72" s="285"/>
      <c r="NP72" s="285"/>
      <c r="NQ72" s="285"/>
      <c r="NR72" s="285"/>
      <c r="NS72" s="285"/>
      <c r="NT72" s="285"/>
      <c r="NU72" s="285"/>
      <c r="NV72" s="285"/>
      <c r="NW72" s="285"/>
      <c r="NX72" s="285"/>
      <c r="NY72" s="285"/>
      <c r="NZ72" s="285"/>
      <c r="OA72" s="285"/>
      <c r="OB72" s="285"/>
      <c r="OC72" s="285"/>
      <c r="OD72" s="285"/>
      <c r="OE72" s="285"/>
      <c r="OF72" s="285"/>
      <c r="OG72" s="285"/>
      <c r="OH72" s="285"/>
      <c r="OI72" s="285"/>
      <c r="OJ72" s="285"/>
      <c r="OK72" s="285"/>
      <c r="OL72" s="285"/>
      <c r="OM72" s="285"/>
      <c r="ON72" s="285"/>
      <c r="OO72" s="285"/>
      <c r="OP72" s="285"/>
      <c r="OQ72" s="285"/>
      <c r="OR72" s="285"/>
      <c r="OS72" s="285"/>
      <c r="OT72" s="285"/>
      <c r="OU72" s="285"/>
      <c r="OV72" s="285"/>
      <c r="OW72" s="285"/>
      <c r="OX72" s="285"/>
      <c r="OY72" s="285"/>
      <c r="OZ72" s="285"/>
      <c r="PA72" s="285"/>
      <c r="PB72" s="285"/>
      <c r="PC72" s="285"/>
      <c r="PD72" s="285"/>
      <c r="PE72" s="285"/>
      <c r="PF72" s="285"/>
      <c r="PG72" s="285"/>
      <c r="PH72" s="285"/>
      <c r="PI72" s="285"/>
      <c r="PJ72" s="285"/>
      <c r="PK72" s="285"/>
      <c r="PL72" s="285"/>
      <c r="PM72" s="285"/>
      <c r="PN72" s="285"/>
      <c r="PO72" s="285"/>
      <c r="PP72" s="285"/>
      <c r="PQ72" s="285"/>
      <c r="PR72" s="285"/>
      <c r="PS72" s="285"/>
      <c r="PT72" s="285"/>
      <c r="PU72" s="285"/>
      <c r="PV72" s="285"/>
      <c r="PW72" s="285"/>
      <c r="PX72" s="285"/>
      <c r="PY72" s="285"/>
      <c r="PZ72" s="285"/>
      <c r="QA72" s="285"/>
      <c r="QB72" s="285"/>
      <c r="QC72" s="285"/>
      <c r="QD72" s="285"/>
      <c r="QE72" s="285"/>
      <c r="QF72" s="285"/>
      <c r="QG72" s="285"/>
      <c r="QH72" s="285"/>
      <c r="QI72" s="285"/>
      <c r="QJ72" s="285"/>
      <c r="QK72" s="285"/>
      <c r="QL72" s="285"/>
      <c r="QM72" s="285"/>
      <c r="QN72" s="285"/>
      <c r="QO72" s="285"/>
      <c r="QP72" s="285"/>
      <c r="QQ72" s="285"/>
    </row>
    <row r="73" spans="1:459" s="117" customFormat="1" x14ac:dyDescent="0.2">
      <c r="A73" s="4"/>
      <c r="B73" s="247"/>
      <c r="C73" s="247"/>
      <c r="D73" s="247"/>
      <c r="E73" s="247"/>
      <c r="F73" s="247"/>
      <c r="G73" s="247"/>
      <c r="H73" s="247"/>
      <c r="I73" s="247"/>
      <c r="J73" s="247"/>
      <c r="K73" s="247"/>
      <c r="L73" s="247"/>
      <c r="M73" s="247"/>
      <c r="N73" s="247"/>
      <c r="O73" s="247"/>
      <c r="Q73" s="284"/>
      <c r="R73" s="285"/>
      <c r="S73" s="285"/>
      <c r="T73" s="285"/>
      <c r="U73" s="285"/>
      <c r="V73" s="285"/>
      <c r="W73" s="285"/>
      <c r="X73" s="285"/>
      <c r="Y73" s="285"/>
      <c r="Z73" s="285"/>
      <c r="AA73" s="285"/>
      <c r="AB73" s="285"/>
      <c r="AC73" s="285"/>
      <c r="AD73" s="285"/>
      <c r="AE73" s="285"/>
      <c r="AF73" s="285"/>
      <c r="AG73" s="285"/>
      <c r="AH73" s="285"/>
      <c r="AI73" s="285"/>
      <c r="AJ73" s="285"/>
      <c r="AK73" s="285"/>
      <c r="AL73" s="285"/>
      <c r="AM73" s="285"/>
      <c r="AN73" s="285"/>
      <c r="AO73" s="285"/>
      <c r="AP73" s="285"/>
      <c r="AQ73" s="285"/>
      <c r="AR73" s="285"/>
      <c r="AS73" s="285"/>
      <c r="AT73" s="285"/>
      <c r="AU73" s="285"/>
      <c r="AV73" s="285"/>
      <c r="AW73" s="285"/>
      <c r="AX73" s="285"/>
      <c r="AY73" s="285"/>
      <c r="AZ73" s="285"/>
      <c r="BA73" s="285"/>
      <c r="BB73" s="285"/>
      <c r="BC73" s="285"/>
      <c r="BD73" s="285"/>
      <c r="BE73" s="285"/>
      <c r="BF73" s="285"/>
      <c r="BG73" s="285"/>
      <c r="BH73" s="285"/>
      <c r="BI73" s="285"/>
      <c r="BJ73" s="285"/>
      <c r="BK73" s="285"/>
      <c r="BL73" s="285"/>
      <c r="BM73" s="285"/>
      <c r="BN73" s="285"/>
      <c r="BO73" s="285"/>
      <c r="BP73" s="285"/>
      <c r="BQ73" s="285"/>
      <c r="BR73" s="285"/>
      <c r="BS73" s="285"/>
      <c r="BT73" s="285"/>
      <c r="BU73" s="285"/>
      <c r="BV73" s="285"/>
      <c r="BW73" s="285"/>
      <c r="BX73" s="285"/>
      <c r="BY73" s="285"/>
      <c r="BZ73" s="285"/>
      <c r="CA73" s="285"/>
      <c r="CB73" s="285"/>
      <c r="CC73" s="285"/>
      <c r="CD73" s="285"/>
      <c r="CE73" s="285"/>
      <c r="CF73" s="285"/>
      <c r="CG73" s="285"/>
      <c r="CH73" s="285"/>
      <c r="CI73" s="285"/>
      <c r="CJ73" s="285"/>
      <c r="CK73" s="285"/>
      <c r="CL73" s="285"/>
      <c r="CM73" s="285"/>
      <c r="CN73" s="285"/>
      <c r="CO73" s="285"/>
      <c r="CP73" s="285"/>
      <c r="CQ73" s="285"/>
      <c r="CR73" s="285"/>
      <c r="CS73" s="285"/>
      <c r="CT73" s="285"/>
      <c r="CU73" s="285"/>
      <c r="CV73" s="285"/>
      <c r="CW73" s="285"/>
      <c r="CX73" s="285"/>
      <c r="CY73" s="285"/>
      <c r="CZ73" s="285"/>
      <c r="DA73" s="285"/>
      <c r="DB73" s="285"/>
      <c r="DC73" s="285"/>
      <c r="DD73" s="285"/>
      <c r="DE73" s="285"/>
      <c r="DF73" s="285"/>
      <c r="DG73" s="285"/>
      <c r="DH73" s="285"/>
      <c r="DI73" s="285"/>
      <c r="DJ73" s="285"/>
      <c r="DK73" s="285"/>
      <c r="DL73" s="285"/>
      <c r="DM73" s="285"/>
      <c r="DN73" s="285"/>
      <c r="DO73" s="285"/>
      <c r="DP73" s="285"/>
      <c r="DQ73" s="285"/>
      <c r="DR73" s="285"/>
      <c r="DS73" s="285"/>
      <c r="DT73" s="285"/>
      <c r="DU73" s="285"/>
      <c r="DV73" s="285"/>
      <c r="DW73" s="285"/>
      <c r="DX73" s="285"/>
      <c r="DY73" s="285"/>
      <c r="DZ73" s="285"/>
      <c r="EA73" s="285"/>
      <c r="EB73" s="285"/>
      <c r="EC73" s="285"/>
      <c r="ED73" s="285"/>
      <c r="EE73" s="285"/>
      <c r="EF73" s="285"/>
      <c r="EG73" s="285"/>
      <c r="EH73" s="285"/>
      <c r="EI73" s="285"/>
      <c r="EJ73" s="285"/>
      <c r="EK73" s="285"/>
      <c r="EL73" s="285"/>
      <c r="EM73" s="285"/>
      <c r="EN73" s="285"/>
      <c r="EO73" s="285"/>
      <c r="EP73" s="285"/>
      <c r="EQ73" s="285"/>
      <c r="ER73" s="285"/>
      <c r="ES73" s="285"/>
      <c r="ET73" s="285"/>
      <c r="EU73" s="285"/>
      <c r="EV73" s="285"/>
      <c r="EW73" s="285"/>
      <c r="EX73" s="285"/>
      <c r="EY73" s="285"/>
      <c r="EZ73" s="285"/>
      <c r="FA73" s="285"/>
      <c r="FB73" s="285"/>
      <c r="FC73" s="285"/>
      <c r="FD73" s="285"/>
      <c r="FE73" s="285"/>
      <c r="FF73" s="285"/>
      <c r="FG73" s="285"/>
      <c r="FH73" s="285"/>
      <c r="FI73" s="285"/>
      <c r="FJ73" s="285"/>
      <c r="FK73" s="285"/>
      <c r="FL73" s="285"/>
      <c r="FM73" s="285"/>
      <c r="FN73" s="285"/>
      <c r="FO73" s="285"/>
      <c r="FP73" s="285"/>
      <c r="FQ73" s="285"/>
      <c r="FR73" s="285"/>
      <c r="FS73" s="285"/>
      <c r="FT73" s="285"/>
      <c r="FU73" s="285"/>
      <c r="FV73" s="285"/>
      <c r="FW73" s="285"/>
      <c r="FX73" s="285"/>
      <c r="FY73" s="285"/>
      <c r="FZ73" s="285"/>
      <c r="GA73" s="285"/>
      <c r="GB73" s="285"/>
      <c r="GC73" s="285"/>
      <c r="GD73" s="285"/>
      <c r="GE73" s="285"/>
      <c r="GF73" s="285"/>
      <c r="GG73" s="285"/>
      <c r="GH73" s="285"/>
      <c r="GI73" s="285"/>
      <c r="GJ73" s="285"/>
      <c r="GK73" s="285"/>
      <c r="GL73" s="285"/>
      <c r="GM73" s="285"/>
      <c r="GN73" s="285"/>
      <c r="GO73" s="285"/>
      <c r="GP73" s="285"/>
      <c r="GQ73" s="285"/>
      <c r="GR73" s="285"/>
      <c r="GS73" s="285"/>
      <c r="GT73" s="285"/>
      <c r="GU73" s="285"/>
      <c r="GV73" s="285"/>
      <c r="GW73" s="285"/>
      <c r="GX73" s="285"/>
      <c r="GY73" s="285"/>
      <c r="GZ73" s="285"/>
      <c r="HA73" s="285"/>
      <c r="HB73" s="285"/>
      <c r="HC73" s="285"/>
      <c r="HD73" s="285"/>
      <c r="HE73" s="285"/>
      <c r="HF73" s="285"/>
      <c r="HG73" s="285"/>
      <c r="HH73" s="285"/>
      <c r="HI73" s="285"/>
      <c r="HJ73" s="285"/>
      <c r="HK73" s="285"/>
      <c r="HL73" s="285"/>
      <c r="HM73" s="285"/>
      <c r="HN73" s="285"/>
      <c r="HO73" s="285"/>
      <c r="HP73" s="285"/>
      <c r="HQ73" s="285"/>
      <c r="HR73" s="285"/>
      <c r="HS73" s="285"/>
      <c r="HT73" s="285"/>
      <c r="HU73" s="285"/>
      <c r="HV73" s="285"/>
      <c r="HW73" s="285"/>
      <c r="HX73" s="285"/>
      <c r="HY73" s="285"/>
      <c r="HZ73" s="285"/>
      <c r="IA73" s="285"/>
      <c r="IB73" s="285"/>
      <c r="IC73" s="285"/>
      <c r="ID73" s="285"/>
      <c r="IE73" s="285"/>
      <c r="IF73" s="285"/>
      <c r="IG73" s="285"/>
      <c r="IH73" s="285"/>
      <c r="II73" s="285"/>
      <c r="IJ73" s="285"/>
      <c r="IK73" s="285"/>
      <c r="IL73" s="285"/>
      <c r="IM73" s="285"/>
      <c r="IN73" s="285"/>
      <c r="IO73" s="285"/>
      <c r="IP73" s="285"/>
      <c r="IQ73" s="285"/>
      <c r="IR73" s="285"/>
      <c r="IS73" s="285"/>
      <c r="IT73" s="285"/>
      <c r="IU73" s="285"/>
      <c r="IV73" s="285"/>
      <c r="IW73" s="285"/>
      <c r="IX73" s="285"/>
      <c r="IY73" s="285"/>
      <c r="IZ73" s="285"/>
      <c r="JA73" s="285"/>
      <c r="JB73" s="285"/>
      <c r="JC73" s="285"/>
      <c r="JD73" s="285"/>
      <c r="JE73" s="285"/>
      <c r="JF73" s="285"/>
      <c r="JG73" s="285"/>
      <c r="JH73" s="285"/>
      <c r="JI73" s="285"/>
      <c r="JJ73" s="285"/>
      <c r="JK73" s="285"/>
      <c r="JL73" s="285"/>
      <c r="JM73" s="285"/>
      <c r="JN73" s="285"/>
      <c r="JO73" s="285"/>
      <c r="JP73" s="285"/>
      <c r="JQ73" s="285"/>
      <c r="JR73" s="285"/>
      <c r="JS73" s="285"/>
      <c r="JT73" s="285"/>
      <c r="JU73" s="285"/>
      <c r="JV73" s="285"/>
      <c r="JW73" s="285"/>
      <c r="JX73" s="285"/>
      <c r="JY73" s="285"/>
      <c r="JZ73" s="285"/>
      <c r="KA73" s="285"/>
      <c r="KB73" s="285"/>
      <c r="KC73" s="285"/>
      <c r="KD73" s="285"/>
      <c r="KE73" s="285"/>
      <c r="KF73" s="285"/>
      <c r="KG73" s="285"/>
      <c r="KH73" s="285"/>
      <c r="KI73" s="285"/>
      <c r="KJ73" s="285"/>
      <c r="KK73" s="285"/>
      <c r="KL73" s="285"/>
      <c r="KM73" s="285"/>
      <c r="KN73" s="285"/>
      <c r="KO73" s="285"/>
      <c r="KP73" s="285"/>
      <c r="KQ73" s="285"/>
      <c r="KR73" s="285"/>
      <c r="KS73" s="285"/>
      <c r="KT73" s="285"/>
      <c r="KU73" s="285"/>
      <c r="KV73" s="285"/>
      <c r="KW73" s="285"/>
      <c r="KX73" s="285"/>
      <c r="KY73" s="285"/>
      <c r="KZ73" s="285"/>
      <c r="LA73" s="285"/>
      <c r="LB73" s="285"/>
      <c r="LC73" s="285"/>
      <c r="LD73" s="285"/>
      <c r="LE73" s="285"/>
      <c r="LF73" s="285"/>
      <c r="LG73" s="285"/>
      <c r="LH73" s="285"/>
      <c r="LI73" s="285"/>
      <c r="LJ73" s="285"/>
      <c r="LK73" s="285"/>
      <c r="LL73" s="285"/>
      <c r="LM73" s="285"/>
      <c r="LN73" s="285"/>
      <c r="LO73" s="285"/>
      <c r="LP73" s="285"/>
      <c r="LQ73" s="285"/>
      <c r="LR73" s="285"/>
      <c r="LS73" s="285"/>
      <c r="LT73" s="285"/>
      <c r="LU73" s="285"/>
      <c r="LV73" s="285"/>
      <c r="LW73" s="285"/>
      <c r="LX73" s="285"/>
      <c r="LY73" s="285"/>
      <c r="LZ73" s="285"/>
      <c r="MA73" s="285"/>
      <c r="MB73" s="285"/>
      <c r="MC73" s="285"/>
      <c r="MD73" s="285"/>
      <c r="ME73" s="285"/>
      <c r="MF73" s="285"/>
      <c r="MG73" s="285"/>
      <c r="MH73" s="285"/>
      <c r="MI73" s="285"/>
      <c r="MJ73" s="285"/>
      <c r="MK73" s="285"/>
      <c r="ML73" s="285"/>
      <c r="MM73" s="285"/>
      <c r="MN73" s="285"/>
      <c r="MO73" s="285"/>
      <c r="MP73" s="285"/>
      <c r="MQ73" s="285"/>
      <c r="MR73" s="285"/>
      <c r="MS73" s="285"/>
      <c r="MT73" s="285"/>
      <c r="MU73" s="285"/>
      <c r="MV73" s="285"/>
      <c r="MW73" s="285"/>
      <c r="MX73" s="285"/>
      <c r="MY73" s="285"/>
      <c r="MZ73" s="285"/>
      <c r="NA73" s="285"/>
      <c r="NB73" s="285"/>
      <c r="NC73" s="285"/>
      <c r="ND73" s="285"/>
      <c r="NE73" s="285"/>
      <c r="NF73" s="285"/>
      <c r="NG73" s="285"/>
      <c r="NH73" s="285"/>
      <c r="NI73" s="285"/>
      <c r="NJ73" s="285"/>
      <c r="NK73" s="285"/>
      <c r="NL73" s="285"/>
      <c r="NM73" s="285"/>
      <c r="NN73" s="285"/>
      <c r="NO73" s="285"/>
      <c r="NP73" s="285"/>
      <c r="NQ73" s="285"/>
      <c r="NR73" s="285"/>
      <c r="NS73" s="285"/>
      <c r="NT73" s="285"/>
      <c r="NU73" s="285"/>
      <c r="NV73" s="285"/>
      <c r="NW73" s="285"/>
      <c r="NX73" s="285"/>
      <c r="NY73" s="285"/>
      <c r="NZ73" s="285"/>
      <c r="OA73" s="285"/>
      <c r="OB73" s="285"/>
      <c r="OC73" s="285"/>
      <c r="OD73" s="285"/>
      <c r="OE73" s="285"/>
      <c r="OF73" s="285"/>
      <c r="OG73" s="285"/>
      <c r="OH73" s="285"/>
      <c r="OI73" s="285"/>
      <c r="OJ73" s="285"/>
      <c r="OK73" s="285"/>
      <c r="OL73" s="285"/>
      <c r="OM73" s="285"/>
      <c r="ON73" s="285"/>
      <c r="OO73" s="285"/>
      <c r="OP73" s="285"/>
      <c r="OQ73" s="285"/>
      <c r="OR73" s="285"/>
      <c r="OS73" s="285"/>
      <c r="OT73" s="285"/>
      <c r="OU73" s="285"/>
      <c r="OV73" s="285"/>
      <c r="OW73" s="285"/>
      <c r="OX73" s="285"/>
      <c r="OY73" s="285"/>
      <c r="OZ73" s="285"/>
      <c r="PA73" s="285"/>
      <c r="PB73" s="285"/>
      <c r="PC73" s="285"/>
      <c r="PD73" s="285"/>
      <c r="PE73" s="285"/>
      <c r="PF73" s="285"/>
      <c r="PG73" s="285"/>
      <c r="PH73" s="285"/>
      <c r="PI73" s="285"/>
      <c r="PJ73" s="285"/>
      <c r="PK73" s="285"/>
      <c r="PL73" s="285"/>
      <c r="PM73" s="285"/>
      <c r="PN73" s="285"/>
      <c r="PO73" s="285"/>
      <c r="PP73" s="285"/>
      <c r="PQ73" s="285"/>
      <c r="PR73" s="285"/>
      <c r="PS73" s="285"/>
      <c r="PT73" s="285"/>
      <c r="PU73" s="285"/>
      <c r="PV73" s="285"/>
      <c r="PW73" s="285"/>
      <c r="PX73" s="285"/>
      <c r="PY73" s="285"/>
      <c r="PZ73" s="285"/>
      <c r="QA73" s="285"/>
      <c r="QB73" s="285"/>
      <c r="QC73" s="285"/>
      <c r="QD73" s="285"/>
      <c r="QE73" s="285"/>
      <c r="QF73" s="285"/>
      <c r="QG73" s="285"/>
      <c r="QH73" s="285"/>
      <c r="QI73" s="285"/>
      <c r="QJ73" s="285"/>
      <c r="QK73" s="285"/>
      <c r="QL73" s="285"/>
      <c r="QM73" s="285"/>
      <c r="QN73" s="285"/>
      <c r="QO73" s="285"/>
      <c r="QP73" s="285"/>
      <c r="QQ73" s="285"/>
    </row>
    <row r="74" spans="1:459" s="117" customFormat="1" x14ac:dyDescent="0.2">
      <c r="A74" s="4"/>
      <c r="B74" s="247"/>
      <c r="C74" s="247"/>
      <c r="D74" s="247"/>
      <c r="E74" s="247"/>
      <c r="F74" s="247"/>
      <c r="G74" s="247"/>
      <c r="H74" s="247"/>
      <c r="I74" s="247"/>
      <c r="J74" s="247"/>
      <c r="K74" s="247"/>
      <c r="L74" s="247"/>
      <c r="M74" s="247"/>
      <c r="N74" s="247"/>
      <c r="O74" s="247"/>
      <c r="Q74" s="284"/>
      <c r="R74" s="285"/>
      <c r="S74" s="285"/>
      <c r="T74" s="285"/>
      <c r="U74" s="285"/>
      <c r="V74" s="285"/>
      <c r="W74" s="285"/>
      <c r="X74" s="285"/>
      <c r="Y74" s="285"/>
      <c r="Z74" s="285"/>
      <c r="AA74" s="285"/>
      <c r="AB74" s="285"/>
      <c r="AC74" s="285"/>
      <c r="AD74" s="285"/>
      <c r="AE74" s="285"/>
      <c r="AF74" s="285"/>
      <c r="AG74" s="285"/>
      <c r="AH74" s="285"/>
      <c r="AI74" s="285"/>
      <c r="AJ74" s="285"/>
      <c r="AK74" s="285"/>
      <c r="AL74" s="285"/>
      <c r="AM74" s="285"/>
      <c r="AN74" s="285"/>
      <c r="AO74" s="285"/>
      <c r="AP74" s="285"/>
      <c r="AQ74" s="285"/>
      <c r="AR74" s="285"/>
      <c r="AS74" s="285"/>
      <c r="AT74" s="285"/>
      <c r="AU74" s="285"/>
      <c r="AV74" s="285"/>
      <c r="AW74" s="285"/>
      <c r="AX74" s="285"/>
      <c r="AY74" s="285"/>
      <c r="AZ74" s="285"/>
      <c r="BA74" s="285"/>
      <c r="BB74" s="285"/>
      <c r="BC74" s="285"/>
      <c r="BD74" s="285"/>
      <c r="BE74" s="285"/>
      <c r="BF74" s="285"/>
      <c r="BG74" s="285"/>
      <c r="BH74" s="285"/>
      <c r="BI74" s="285"/>
      <c r="BJ74" s="285"/>
      <c r="BK74" s="285"/>
      <c r="BL74" s="285"/>
      <c r="BM74" s="285"/>
      <c r="BN74" s="285"/>
      <c r="BO74" s="285"/>
      <c r="BP74" s="285"/>
      <c r="BQ74" s="285"/>
      <c r="BR74" s="285"/>
      <c r="BS74" s="285"/>
      <c r="BT74" s="285"/>
      <c r="BU74" s="285"/>
      <c r="BV74" s="285"/>
      <c r="BW74" s="285"/>
      <c r="BX74" s="285"/>
      <c r="BY74" s="285"/>
      <c r="BZ74" s="285"/>
      <c r="CA74" s="285"/>
      <c r="CB74" s="285"/>
      <c r="CC74" s="285"/>
      <c r="CD74" s="285"/>
      <c r="CE74" s="285"/>
      <c r="CF74" s="285"/>
      <c r="CG74" s="285"/>
      <c r="CH74" s="285"/>
      <c r="CI74" s="285"/>
      <c r="CJ74" s="285"/>
      <c r="CK74" s="285"/>
      <c r="CL74" s="285"/>
      <c r="CM74" s="285"/>
      <c r="CN74" s="285"/>
      <c r="CO74" s="285"/>
      <c r="CP74" s="285"/>
      <c r="CQ74" s="285"/>
      <c r="CR74" s="285"/>
      <c r="CS74" s="285"/>
      <c r="CT74" s="285"/>
      <c r="CU74" s="285"/>
      <c r="CV74" s="285"/>
      <c r="CW74" s="285"/>
      <c r="CX74" s="285"/>
      <c r="CY74" s="285"/>
      <c r="CZ74" s="285"/>
      <c r="DA74" s="285"/>
      <c r="DB74" s="285"/>
      <c r="DC74" s="285"/>
      <c r="DD74" s="285"/>
      <c r="DE74" s="285"/>
      <c r="DF74" s="285"/>
      <c r="DG74" s="285"/>
      <c r="DH74" s="285"/>
      <c r="DI74" s="285"/>
      <c r="DJ74" s="285"/>
      <c r="DK74" s="285"/>
      <c r="DL74" s="285"/>
      <c r="DM74" s="285"/>
      <c r="DN74" s="285"/>
      <c r="DO74" s="285"/>
      <c r="DP74" s="285"/>
      <c r="DQ74" s="285"/>
      <c r="DR74" s="285"/>
      <c r="DS74" s="285"/>
      <c r="DT74" s="285"/>
      <c r="DU74" s="285"/>
      <c r="DV74" s="285"/>
      <c r="DW74" s="285"/>
      <c r="DX74" s="285"/>
      <c r="DY74" s="285"/>
      <c r="DZ74" s="285"/>
      <c r="EA74" s="285"/>
      <c r="EB74" s="285"/>
      <c r="EC74" s="285"/>
      <c r="ED74" s="285"/>
      <c r="EE74" s="285"/>
      <c r="EF74" s="285"/>
      <c r="EG74" s="285"/>
      <c r="EH74" s="285"/>
      <c r="EI74" s="285"/>
      <c r="EJ74" s="285"/>
      <c r="EK74" s="285"/>
      <c r="EL74" s="285"/>
      <c r="EM74" s="285"/>
      <c r="EN74" s="285"/>
      <c r="EO74" s="285"/>
      <c r="EP74" s="285"/>
      <c r="EQ74" s="285"/>
      <c r="ER74" s="285"/>
      <c r="ES74" s="285"/>
      <c r="ET74" s="285"/>
      <c r="EU74" s="285"/>
      <c r="EV74" s="285"/>
      <c r="EW74" s="285"/>
      <c r="EX74" s="285"/>
      <c r="EY74" s="285"/>
      <c r="EZ74" s="285"/>
      <c r="FA74" s="285"/>
      <c r="FB74" s="285"/>
      <c r="FC74" s="285"/>
      <c r="FD74" s="285"/>
      <c r="FE74" s="285"/>
      <c r="FF74" s="285"/>
      <c r="FG74" s="285"/>
      <c r="FH74" s="285"/>
      <c r="FI74" s="285"/>
      <c r="FJ74" s="285"/>
      <c r="FK74" s="285"/>
      <c r="FL74" s="285"/>
      <c r="FM74" s="285"/>
      <c r="FN74" s="285"/>
      <c r="FO74" s="285"/>
      <c r="FP74" s="285"/>
      <c r="FQ74" s="285"/>
      <c r="FR74" s="285"/>
      <c r="FS74" s="285"/>
      <c r="FT74" s="285"/>
      <c r="FU74" s="285"/>
      <c r="FV74" s="285"/>
      <c r="FW74" s="285"/>
      <c r="FX74" s="285"/>
      <c r="FY74" s="285"/>
      <c r="FZ74" s="285"/>
      <c r="GA74" s="285"/>
      <c r="GB74" s="285"/>
      <c r="GC74" s="285"/>
      <c r="GD74" s="285"/>
      <c r="GE74" s="285"/>
      <c r="GF74" s="285"/>
      <c r="GG74" s="285"/>
      <c r="GH74" s="285"/>
      <c r="GI74" s="285"/>
      <c r="GJ74" s="285"/>
      <c r="GK74" s="285"/>
      <c r="GL74" s="285"/>
      <c r="GM74" s="285"/>
      <c r="GN74" s="285"/>
      <c r="GO74" s="285"/>
      <c r="GP74" s="285"/>
      <c r="GQ74" s="285"/>
      <c r="GR74" s="285"/>
      <c r="GS74" s="285"/>
      <c r="GT74" s="285"/>
      <c r="GU74" s="285"/>
      <c r="GV74" s="285"/>
      <c r="GW74" s="285"/>
      <c r="GX74" s="285"/>
      <c r="GY74" s="285"/>
      <c r="GZ74" s="285"/>
      <c r="HA74" s="285"/>
      <c r="HB74" s="285"/>
      <c r="HC74" s="285"/>
      <c r="HD74" s="285"/>
      <c r="HE74" s="285"/>
      <c r="HF74" s="285"/>
      <c r="HG74" s="285"/>
      <c r="HH74" s="285"/>
      <c r="HI74" s="285"/>
      <c r="HJ74" s="285"/>
      <c r="HK74" s="285"/>
      <c r="HL74" s="285"/>
      <c r="HM74" s="285"/>
      <c r="HN74" s="285"/>
      <c r="HO74" s="285"/>
      <c r="HP74" s="285"/>
      <c r="HQ74" s="285"/>
      <c r="HR74" s="285"/>
      <c r="HS74" s="285"/>
      <c r="HT74" s="285"/>
      <c r="HU74" s="285"/>
      <c r="HV74" s="285"/>
      <c r="HW74" s="285"/>
      <c r="HX74" s="285"/>
      <c r="HY74" s="285"/>
      <c r="HZ74" s="285"/>
      <c r="IA74" s="285"/>
      <c r="IB74" s="285"/>
      <c r="IC74" s="285"/>
      <c r="ID74" s="285"/>
      <c r="IE74" s="285"/>
      <c r="IF74" s="285"/>
      <c r="IG74" s="285"/>
      <c r="IH74" s="285"/>
      <c r="II74" s="285"/>
      <c r="IJ74" s="285"/>
      <c r="IK74" s="285"/>
      <c r="IL74" s="285"/>
      <c r="IM74" s="285"/>
      <c r="IN74" s="285"/>
      <c r="IO74" s="285"/>
      <c r="IP74" s="285"/>
      <c r="IQ74" s="285"/>
      <c r="IR74" s="285"/>
      <c r="IS74" s="285"/>
      <c r="IT74" s="285"/>
      <c r="IU74" s="285"/>
      <c r="IV74" s="285"/>
      <c r="IW74" s="285"/>
      <c r="IX74" s="285"/>
      <c r="IY74" s="285"/>
      <c r="IZ74" s="285"/>
      <c r="JA74" s="285"/>
      <c r="JB74" s="285"/>
      <c r="JC74" s="285"/>
      <c r="JD74" s="285"/>
      <c r="JE74" s="285"/>
      <c r="JF74" s="285"/>
      <c r="JG74" s="285"/>
      <c r="JH74" s="285"/>
      <c r="JI74" s="285"/>
      <c r="JJ74" s="285"/>
      <c r="JK74" s="285"/>
      <c r="JL74" s="285"/>
      <c r="JM74" s="285"/>
      <c r="JN74" s="285"/>
      <c r="JO74" s="285"/>
      <c r="JP74" s="285"/>
      <c r="JQ74" s="285"/>
      <c r="JR74" s="285"/>
      <c r="JS74" s="285"/>
      <c r="JT74" s="285"/>
      <c r="JU74" s="285"/>
      <c r="JV74" s="285"/>
      <c r="JW74" s="285"/>
      <c r="JX74" s="285"/>
      <c r="JY74" s="285"/>
      <c r="JZ74" s="285"/>
      <c r="KA74" s="285"/>
      <c r="KB74" s="285"/>
      <c r="KC74" s="285"/>
      <c r="KD74" s="285"/>
      <c r="KE74" s="285"/>
      <c r="KF74" s="285"/>
      <c r="KG74" s="285"/>
      <c r="KH74" s="285"/>
      <c r="KI74" s="285"/>
      <c r="KJ74" s="285"/>
      <c r="KK74" s="285"/>
      <c r="KL74" s="285"/>
      <c r="KM74" s="285"/>
      <c r="KN74" s="285"/>
      <c r="KO74" s="285"/>
      <c r="KP74" s="285"/>
      <c r="KQ74" s="285"/>
      <c r="KR74" s="285"/>
      <c r="KS74" s="285"/>
      <c r="KT74" s="285"/>
      <c r="KU74" s="285"/>
      <c r="KV74" s="285"/>
      <c r="KW74" s="285"/>
      <c r="KX74" s="285"/>
      <c r="KY74" s="285"/>
      <c r="KZ74" s="285"/>
      <c r="LA74" s="285"/>
      <c r="LB74" s="285"/>
      <c r="LC74" s="285"/>
      <c r="LD74" s="285"/>
      <c r="LE74" s="285"/>
      <c r="LF74" s="285"/>
      <c r="LG74" s="285"/>
      <c r="LH74" s="285"/>
      <c r="LI74" s="285"/>
      <c r="LJ74" s="285"/>
      <c r="LK74" s="285"/>
      <c r="LL74" s="285"/>
      <c r="LM74" s="285"/>
      <c r="LN74" s="285"/>
      <c r="LO74" s="285"/>
      <c r="LP74" s="285"/>
      <c r="LQ74" s="285"/>
      <c r="LR74" s="285"/>
      <c r="LS74" s="285"/>
      <c r="LT74" s="285"/>
      <c r="LU74" s="285"/>
      <c r="LV74" s="285"/>
      <c r="LW74" s="285"/>
      <c r="LX74" s="285"/>
      <c r="LY74" s="285"/>
      <c r="LZ74" s="285"/>
      <c r="MA74" s="285"/>
      <c r="MB74" s="285"/>
      <c r="MC74" s="285"/>
      <c r="MD74" s="285"/>
      <c r="ME74" s="285"/>
      <c r="MF74" s="285"/>
      <c r="MG74" s="285"/>
      <c r="MH74" s="285"/>
      <c r="MI74" s="285"/>
      <c r="MJ74" s="285"/>
      <c r="MK74" s="285"/>
      <c r="ML74" s="285"/>
      <c r="MM74" s="285"/>
      <c r="MN74" s="285"/>
      <c r="MO74" s="285"/>
      <c r="MP74" s="285"/>
      <c r="MQ74" s="285"/>
      <c r="MR74" s="285"/>
      <c r="MS74" s="285"/>
      <c r="MT74" s="285"/>
      <c r="MU74" s="285"/>
      <c r="MV74" s="285"/>
      <c r="MW74" s="285"/>
      <c r="MX74" s="285"/>
      <c r="MY74" s="285"/>
      <c r="MZ74" s="285"/>
      <c r="NA74" s="285"/>
      <c r="NB74" s="285"/>
      <c r="NC74" s="285"/>
      <c r="ND74" s="285"/>
      <c r="NE74" s="285"/>
      <c r="NF74" s="285"/>
      <c r="NG74" s="285"/>
      <c r="NH74" s="285"/>
      <c r="NI74" s="285"/>
      <c r="NJ74" s="285"/>
      <c r="NK74" s="285"/>
      <c r="NL74" s="285"/>
      <c r="NM74" s="285"/>
      <c r="NN74" s="285"/>
      <c r="NO74" s="285"/>
      <c r="NP74" s="285"/>
      <c r="NQ74" s="285"/>
      <c r="NR74" s="285"/>
      <c r="NS74" s="285"/>
      <c r="NT74" s="285"/>
      <c r="NU74" s="285"/>
      <c r="NV74" s="285"/>
      <c r="NW74" s="285"/>
      <c r="NX74" s="285"/>
      <c r="NY74" s="285"/>
      <c r="NZ74" s="285"/>
      <c r="OA74" s="285"/>
      <c r="OB74" s="285"/>
      <c r="OC74" s="285"/>
      <c r="OD74" s="285"/>
      <c r="OE74" s="285"/>
      <c r="OF74" s="285"/>
      <c r="OG74" s="285"/>
      <c r="OH74" s="285"/>
      <c r="OI74" s="285"/>
      <c r="OJ74" s="285"/>
      <c r="OK74" s="285"/>
      <c r="OL74" s="285"/>
      <c r="OM74" s="285"/>
      <c r="ON74" s="285"/>
      <c r="OO74" s="285"/>
      <c r="OP74" s="285"/>
      <c r="OQ74" s="285"/>
      <c r="OR74" s="285"/>
      <c r="OS74" s="285"/>
      <c r="OT74" s="285"/>
      <c r="OU74" s="285"/>
      <c r="OV74" s="285"/>
      <c r="OW74" s="285"/>
      <c r="OX74" s="285"/>
      <c r="OY74" s="285"/>
      <c r="OZ74" s="285"/>
      <c r="PA74" s="285"/>
      <c r="PB74" s="285"/>
      <c r="PC74" s="285"/>
      <c r="PD74" s="285"/>
      <c r="PE74" s="285"/>
      <c r="PF74" s="285"/>
      <c r="PG74" s="285"/>
      <c r="PH74" s="285"/>
      <c r="PI74" s="285"/>
      <c r="PJ74" s="285"/>
      <c r="PK74" s="285"/>
      <c r="PL74" s="285"/>
      <c r="PM74" s="285"/>
      <c r="PN74" s="285"/>
      <c r="PO74" s="285"/>
      <c r="PP74" s="285"/>
      <c r="PQ74" s="285"/>
      <c r="PR74" s="285"/>
      <c r="PS74" s="285"/>
      <c r="PT74" s="285"/>
      <c r="PU74" s="285"/>
      <c r="PV74" s="285"/>
      <c r="PW74" s="285"/>
      <c r="PX74" s="285"/>
      <c r="PY74" s="285"/>
      <c r="PZ74" s="285"/>
      <c r="QA74" s="285"/>
      <c r="QB74" s="285"/>
      <c r="QC74" s="285"/>
      <c r="QD74" s="285"/>
      <c r="QE74" s="285"/>
      <c r="QF74" s="285"/>
      <c r="QG74" s="285"/>
      <c r="QH74" s="285"/>
      <c r="QI74" s="285"/>
      <c r="QJ74" s="285"/>
      <c r="QK74" s="285"/>
      <c r="QL74" s="285"/>
      <c r="QM74" s="285"/>
      <c r="QN74" s="285"/>
      <c r="QO74" s="285"/>
      <c r="QP74" s="285"/>
      <c r="QQ74" s="285"/>
    </row>
    <row r="75" spans="1:459" s="117" customFormat="1" x14ac:dyDescent="0.2">
      <c r="A75" s="4"/>
      <c r="B75" s="247"/>
      <c r="C75" s="247"/>
      <c r="D75" s="247"/>
      <c r="E75" s="247"/>
      <c r="F75" s="247"/>
      <c r="G75" s="247"/>
      <c r="H75" s="247"/>
      <c r="I75" s="247"/>
      <c r="J75" s="247"/>
      <c r="K75" s="247"/>
      <c r="L75" s="247"/>
      <c r="M75" s="247"/>
      <c r="N75" s="247"/>
      <c r="O75" s="247"/>
      <c r="Q75" s="284"/>
      <c r="R75" s="285"/>
      <c r="S75" s="285"/>
      <c r="T75" s="285"/>
      <c r="U75" s="285"/>
      <c r="V75" s="285"/>
      <c r="W75" s="285"/>
      <c r="X75" s="285"/>
      <c r="Y75" s="285"/>
      <c r="Z75" s="285"/>
      <c r="AA75" s="285"/>
      <c r="AB75" s="285"/>
      <c r="AC75" s="285"/>
      <c r="AD75" s="285"/>
      <c r="AE75" s="285"/>
      <c r="AF75" s="285"/>
      <c r="AG75" s="285"/>
      <c r="AH75" s="285"/>
      <c r="AI75" s="285"/>
      <c r="AJ75" s="285"/>
      <c r="AK75" s="285"/>
      <c r="AL75" s="285"/>
      <c r="AM75" s="285"/>
      <c r="AN75" s="285"/>
      <c r="AO75" s="285"/>
      <c r="AP75" s="285"/>
      <c r="AQ75" s="285"/>
      <c r="AR75" s="285"/>
      <c r="AS75" s="285"/>
      <c r="AT75" s="285"/>
      <c r="AU75" s="285"/>
      <c r="AV75" s="285"/>
      <c r="AW75" s="285"/>
      <c r="AX75" s="285"/>
      <c r="AY75" s="285"/>
      <c r="AZ75" s="285"/>
      <c r="BA75" s="285"/>
      <c r="BB75" s="285"/>
      <c r="BC75" s="285"/>
      <c r="BD75" s="285"/>
      <c r="BE75" s="285"/>
      <c r="BF75" s="285"/>
      <c r="BG75" s="285"/>
      <c r="BH75" s="285"/>
      <c r="BI75" s="285"/>
      <c r="BJ75" s="285"/>
      <c r="BK75" s="285"/>
      <c r="BL75" s="285"/>
      <c r="BM75" s="285"/>
      <c r="BN75" s="285"/>
      <c r="BO75" s="285"/>
      <c r="BP75" s="285"/>
      <c r="BQ75" s="285"/>
      <c r="BR75" s="285"/>
      <c r="BS75" s="285"/>
      <c r="BT75" s="285"/>
      <c r="BU75" s="285"/>
      <c r="BV75" s="285"/>
      <c r="BW75" s="285"/>
      <c r="BX75" s="285"/>
      <c r="BY75" s="285"/>
      <c r="BZ75" s="285"/>
      <c r="CA75" s="285"/>
      <c r="CB75" s="285"/>
      <c r="CC75" s="285"/>
      <c r="CD75" s="285"/>
      <c r="CE75" s="285"/>
      <c r="CF75" s="285"/>
      <c r="CG75" s="285"/>
      <c r="CH75" s="285"/>
      <c r="CI75" s="285"/>
      <c r="CJ75" s="285"/>
      <c r="CK75" s="285"/>
      <c r="CL75" s="285"/>
      <c r="CM75" s="285"/>
      <c r="CN75" s="285"/>
      <c r="CO75" s="285"/>
      <c r="CP75" s="285"/>
      <c r="CQ75" s="285"/>
      <c r="CR75" s="285"/>
      <c r="CS75" s="285"/>
      <c r="CT75" s="285"/>
      <c r="CU75" s="285"/>
      <c r="CV75" s="285"/>
      <c r="CW75" s="285"/>
      <c r="CX75" s="285"/>
      <c r="CY75" s="285"/>
      <c r="CZ75" s="285"/>
      <c r="DA75" s="285"/>
      <c r="DB75" s="285"/>
      <c r="DC75" s="285"/>
      <c r="DD75" s="285"/>
      <c r="DE75" s="285"/>
      <c r="DF75" s="285"/>
      <c r="DG75" s="285"/>
      <c r="DH75" s="285"/>
      <c r="DI75" s="285"/>
      <c r="DJ75" s="285"/>
      <c r="DK75" s="285"/>
      <c r="DL75" s="285"/>
      <c r="DM75" s="285"/>
      <c r="DN75" s="285"/>
      <c r="DO75" s="285"/>
      <c r="DP75" s="285"/>
      <c r="DQ75" s="285"/>
      <c r="DR75" s="285"/>
      <c r="DS75" s="285"/>
      <c r="DT75" s="285"/>
      <c r="DU75" s="285"/>
      <c r="DV75" s="285"/>
      <c r="DW75" s="285"/>
      <c r="DX75" s="285"/>
      <c r="DY75" s="285"/>
      <c r="DZ75" s="285"/>
      <c r="EA75" s="285"/>
      <c r="EB75" s="285"/>
      <c r="EC75" s="285"/>
      <c r="ED75" s="285"/>
      <c r="EE75" s="285"/>
      <c r="EF75" s="285"/>
      <c r="EG75" s="285"/>
      <c r="EH75" s="285"/>
      <c r="EI75" s="285"/>
      <c r="EJ75" s="285"/>
      <c r="EK75" s="285"/>
      <c r="EL75" s="285"/>
      <c r="EM75" s="285"/>
      <c r="EN75" s="285"/>
      <c r="EO75" s="285"/>
      <c r="EP75" s="285"/>
      <c r="EQ75" s="285"/>
      <c r="ER75" s="285"/>
      <c r="ES75" s="285"/>
      <c r="ET75" s="285"/>
      <c r="EU75" s="285"/>
      <c r="EV75" s="285"/>
      <c r="EW75" s="285"/>
      <c r="EX75" s="285"/>
      <c r="EY75" s="285"/>
      <c r="EZ75" s="285"/>
      <c r="FA75" s="285"/>
      <c r="FB75" s="285"/>
      <c r="FC75" s="285"/>
      <c r="FD75" s="285"/>
      <c r="FE75" s="285"/>
      <c r="FF75" s="285"/>
      <c r="FG75" s="285"/>
      <c r="FH75" s="285"/>
      <c r="FI75" s="285"/>
      <c r="FJ75" s="285"/>
      <c r="FK75" s="285"/>
      <c r="FL75" s="285"/>
      <c r="FM75" s="285"/>
      <c r="FN75" s="285"/>
      <c r="FO75" s="285"/>
      <c r="FP75" s="285"/>
      <c r="FQ75" s="285"/>
      <c r="FR75" s="285"/>
      <c r="FS75" s="285"/>
      <c r="FT75" s="285"/>
      <c r="FU75" s="285"/>
      <c r="FV75" s="285"/>
      <c r="FW75" s="285"/>
      <c r="FX75" s="285"/>
      <c r="FY75" s="285"/>
      <c r="FZ75" s="285"/>
      <c r="GA75" s="285"/>
      <c r="GB75" s="285"/>
      <c r="GC75" s="285"/>
      <c r="GD75" s="285"/>
      <c r="GE75" s="285"/>
      <c r="GF75" s="285"/>
      <c r="GG75" s="285"/>
      <c r="GH75" s="285"/>
      <c r="GI75" s="285"/>
      <c r="GJ75" s="285"/>
      <c r="GK75" s="285"/>
      <c r="GL75" s="285"/>
      <c r="GM75" s="285"/>
      <c r="GN75" s="285"/>
      <c r="GO75" s="285"/>
      <c r="GP75" s="285"/>
      <c r="GQ75" s="285"/>
      <c r="GR75" s="285"/>
      <c r="GS75" s="285"/>
      <c r="GT75" s="285"/>
      <c r="GU75" s="285"/>
      <c r="GV75" s="285"/>
      <c r="GW75" s="285"/>
      <c r="GX75" s="285"/>
      <c r="GY75" s="285"/>
      <c r="GZ75" s="285"/>
      <c r="HA75" s="285"/>
      <c r="HB75" s="285"/>
      <c r="HC75" s="285"/>
      <c r="HD75" s="285"/>
      <c r="HE75" s="285"/>
      <c r="HF75" s="285"/>
      <c r="HG75" s="285"/>
      <c r="HH75" s="285"/>
      <c r="HI75" s="285"/>
      <c r="HJ75" s="285"/>
      <c r="HK75" s="285"/>
      <c r="HL75" s="285"/>
      <c r="HM75" s="285"/>
      <c r="HN75" s="285"/>
      <c r="HO75" s="285"/>
      <c r="HP75" s="285"/>
      <c r="HQ75" s="285"/>
      <c r="HR75" s="285"/>
      <c r="HS75" s="285"/>
      <c r="HT75" s="285"/>
      <c r="HU75" s="285"/>
      <c r="HV75" s="285"/>
      <c r="HW75" s="285"/>
      <c r="HX75" s="285"/>
      <c r="HY75" s="285"/>
      <c r="HZ75" s="285"/>
      <c r="IA75" s="285"/>
      <c r="IB75" s="285"/>
      <c r="IC75" s="285"/>
      <c r="ID75" s="285"/>
      <c r="IE75" s="285"/>
      <c r="IF75" s="285"/>
      <c r="IG75" s="285"/>
      <c r="IH75" s="285"/>
      <c r="II75" s="285"/>
      <c r="IJ75" s="285"/>
      <c r="IK75" s="285"/>
      <c r="IL75" s="285"/>
      <c r="IM75" s="285"/>
      <c r="IN75" s="285"/>
      <c r="IO75" s="285"/>
      <c r="IP75" s="285"/>
      <c r="IQ75" s="285"/>
      <c r="IR75" s="285"/>
      <c r="IS75" s="285"/>
      <c r="IT75" s="285"/>
      <c r="IU75" s="285"/>
      <c r="IV75" s="285"/>
      <c r="IW75" s="285"/>
      <c r="IX75" s="285"/>
      <c r="IY75" s="285"/>
      <c r="IZ75" s="285"/>
      <c r="JA75" s="285"/>
      <c r="JB75" s="285"/>
      <c r="JC75" s="285"/>
      <c r="JD75" s="285"/>
      <c r="JE75" s="285"/>
      <c r="JF75" s="285"/>
      <c r="JG75" s="285"/>
      <c r="JH75" s="285"/>
      <c r="JI75" s="285"/>
      <c r="JJ75" s="285"/>
      <c r="JK75" s="285"/>
      <c r="JL75" s="285"/>
      <c r="JM75" s="285"/>
      <c r="JN75" s="285"/>
      <c r="JO75" s="285"/>
      <c r="JP75" s="285"/>
      <c r="JQ75" s="285"/>
      <c r="JR75" s="285"/>
      <c r="JS75" s="285"/>
      <c r="JT75" s="285"/>
      <c r="JU75" s="285"/>
      <c r="JV75" s="285"/>
      <c r="JW75" s="285"/>
      <c r="JX75" s="285"/>
      <c r="JY75" s="285"/>
      <c r="JZ75" s="285"/>
      <c r="KA75" s="285"/>
      <c r="KB75" s="285"/>
      <c r="KC75" s="285"/>
      <c r="KD75" s="285"/>
      <c r="KE75" s="285"/>
      <c r="KF75" s="285"/>
      <c r="KG75" s="285"/>
      <c r="KH75" s="285"/>
      <c r="KI75" s="285"/>
      <c r="KJ75" s="285"/>
      <c r="KK75" s="285"/>
      <c r="KL75" s="285"/>
      <c r="KM75" s="285"/>
      <c r="KN75" s="285"/>
      <c r="KO75" s="285"/>
      <c r="KP75" s="285"/>
      <c r="KQ75" s="285"/>
      <c r="KR75" s="285"/>
      <c r="KS75" s="285"/>
      <c r="KT75" s="285"/>
      <c r="KU75" s="285"/>
      <c r="KV75" s="285"/>
      <c r="KW75" s="285"/>
      <c r="KX75" s="285"/>
      <c r="KY75" s="285"/>
      <c r="KZ75" s="285"/>
      <c r="LA75" s="285"/>
      <c r="LB75" s="285"/>
      <c r="LC75" s="285"/>
      <c r="LD75" s="285"/>
      <c r="LE75" s="285"/>
      <c r="LF75" s="285"/>
      <c r="LG75" s="285"/>
      <c r="LH75" s="285"/>
      <c r="LI75" s="285"/>
      <c r="LJ75" s="285"/>
      <c r="LK75" s="285"/>
      <c r="LL75" s="285"/>
      <c r="LM75" s="285"/>
      <c r="LN75" s="285"/>
      <c r="LO75" s="285"/>
      <c r="LP75" s="285"/>
      <c r="LQ75" s="285"/>
      <c r="LR75" s="285"/>
      <c r="LS75" s="285"/>
      <c r="LT75" s="285"/>
      <c r="LU75" s="285"/>
      <c r="LV75" s="285"/>
      <c r="LW75" s="285"/>
      <c r="LX75" s="285"/>
      <c r="LY75" s="285"/>
      <c r="LZ75" s="285"/>
      <c r="MA75" s="285"/>
      <c r="MB75" s="285"/>
      <c r="MC75" s="285"/>
      <c r="MD75" s="285"/>
      <c r="ME75" s="285"/>
      <c r="MF75" s="285"/>
      <c r="MG75" s="285"/>
      <c r="MH75" s="285"/>
      <c r="MI75" s="285"/>
      <c r="MJ75" s="285"/>
      <c r="MK75" s="285"/>
      <c r="ML75" s="285"/>
      <c r="MM75" s="285"/>
      <c r="MN75" s="285"/>
      <c r="MO75" s="285"/>
      <c r="MP75" s="285"/>
      <c r="MQ75" s="285"/>
      <c r="MR75" s="285"/>
      <c r="MS75" s="285"/>
      <c r="MT75" s="285"/>
      <c r="MU75" s="285"/>
      <c r="MV75" s="285"/>
      <c r="MW75" s="285"/>
      <c r="MX75" s="285"/>
      <c r="MY75" s="285"/>
      <c r="MZ75" s="285"/>
      <c r="NA75" s="285"/>
      <c r="NB75" s="285"/>
      <c r="NC75" s="285"/>
      <c r="ND75" s="285"/>
      <c r="NE75" s="285"/>
      <c r="NF75" s="285"/>
      <c r="NG75" s="285"/>
      <c r="NH75" s="285"/>
      <c r="NI75" s="285"/>
      <c r="NJ75" s="285"/>
      <c r="NK75" s="285"/>
      <c r="NL75" s="285"/>
      <c r="NM75" s="285"/>
      <c r="NN75" s="285"/>
      <c r="NO75" s="285"/>
      <c r="NP75" s="285"/>
      <c r="NQ75" s="285"/>
      <c r="NR75" s="285"/>
      <c r="NS75" s="285"/>
      <c r="NT75" s="285"/>
      <c r="NU75" s="285"/>
      <c r="NV75" s="285"/>
      <c r="NW75" s="285"/>
      <c r="NX75" s="285"/>
      <c r="NY75" s="285"/>
      <c r="NZ75" s="285"/>
      <c r="OA75" s="285"/>
      <c r="OB75" s="285"/>
      <c r="OC75" s="285"/>
      <c r="OD75" s="285"/>
      <c r="OE75" s="285"/>
      <c r="OF75" s="285"/>
      <c r="OG75" s="285"/>
      <c r="OH75" s="285"/>
      <c r="OI75" s="285"/>
      <c r="OJ75" s="285"/>
      <c r="OK75" s="285"/>
      <c r="OL75" s="285"/>
      <c r="OM75" s="285"/>
      <c r="ON75" s="285"/>
      <c r="OO75" s="285"/>
      <c r="OP75" s="285"/>
      <c r="OQ75" s="285"/>
      <c r="OR75" s="285"/>
      <c r="OS75" s="285"/>
      <c r="OT75" s="285"/>
      <c r="OU75" s="285"/>
      <c r="OV75" s="285"/>
      <c r="OW75" s="285"/>
      <c r="OX75" s="285"/>
      <c r="OY75" s="285"/>
      <c r="OZ75" s="285"/>
      <c r="PA75" s="285"/>
      <c r="PB75" s="285"/>
      <c r="PC75" s="285"/>
      <c r="PD75" s="285"/>
      <c r="PE75" s="285"/>
      <c r="PF75" s="285"/>
      <c r="PG75" s="285"/>
      <c r="PH75" s="285"/>
      <c r="PI75" s="285"/>
      <c r="PJ75" s="285"/>
      <c r="PK75" s="285"/>
      <c r="PL75" s="285"/>
      <c r="PM75" s="285"/>
      <c r="PN75" s="285"/>
      <c r="PO75" s="285"/>
      <c r="PP75" s="285"/>
      <c r="PQ75" s="285"/>
      <c r="PR75" s="285"/>
      <c r="PS75" s="285"/>
      <c r="PT75" s="285"/>
      <c r="PU75" s="285"/>
      <c r="PV75" s="285"/>
      <c r="PW75" s="285"/>
      <c r="PX75" s="285"/>
      <c r="PY75" s="285"/>
      <c r="PZ75" s="285"/>
      <c r="QA75" s="285"/>
      <c r="QB75" s="285"/>
      <c r="QC75" s="285"/>
      <c r="QD75" s="285"/>
      <c r="QE75" s="285"/>
      <c r="QF75" s="285"/>
      <c r="QG75" s="285"/>
      <c r="QH75" s="285"/>
      <c r="QI75" s="285"/>
      <c r="QJ75" s="285"/>
      <c r="QK75" s="285"/>
      <c r="QL75" s="285"/>
      <c r="QM75" s="285"/>
      <c r="QN75" s="285"/>
      <c r="QO75" s="285"/>
      <c r="QP75" s="285"/>
      <c r="QQ75" s="285"/>
    </row>
    <row r="76" spans="1:459" s="117" customFormat="1" ht="34.5" customHeight="1" x14ac:dyDescent="0.2">
      <c r="A76" s="4"/>
      <c r="B76" s="247"/>
      <c r="C76" s="247"/>
      <c r="D76" s="247"/>
      <c r="E76" s="247"/>
      <c r="F76" s="247"/>
      <c r="G76" s="247"/>
      <c r="H76" s="247"/>
      <c r="I76" s="247"/>
      <c r="J76" s="247"/>
      <c r="K76" s="247"/>
      <c r="L76" s="247"/>
      <c r="M76" s="247"/>
      <c r="N76" s="247"/>
      <c r="O76" s="247"/>
      <c r="Q76" s="284"/>
      <c r="R76" s="285"/>
      <c r="S76" s="285"/>
      <c r="T76" s="285"/>
      <c r="U76" s="285"/>
      <c r="V76" s="285"/>
      <c r="W76" s="285"/>
      <c r="X76" s="285"/>
      <c r="Y76" s="285"/>
      <c r="Z76" s="285"/>
      <c r="AA76" s="285"/>
      <c r="AB76" s="285"/>
      <c r="AC76" s="285"/>
      <c r="AD76" s="285"/>
      <c r="AE76" s="285"/>
      <c r="AF76" s="285"/>
      <c r="AG76" s="285"/>
      <c r="AH76" s="285"/>
      <c r="AI76" s="285"/>
      <c r="AJ76" s="285"/>
      <c r="AK76" s="285"/>
      <c r="AL76" s="285"/>
      <c r="AM76" s="285"/>
      <c r="AN76" s="285"/>
      <c r="AO76" s="285"/>
      <c r="AP76" s="285"/>
      <c r="AQ76" s="285"/>
      <c r="AR76" s="285"/>
      <c r="AS76" s="285"/>
      <c r="AT76" s="285"/>
      <c r="AU76" s="285"/>
      <c r="AV76" s="285"/>
      <c r="AW76" s="285"/>
      <c r="AX76" s="285"/>
      <c r="AY76" s="285"/>
      <c r="AZ76" s="285"/>
      <c r="BA76" s="285"/>
      <c r="BB76" s="285"/>
      <c r="BC76" s="285"/>
      <c r="BD76" s="285"/>
      <c r="BE76" s="285"/>
      <c r="BF76" s="285"/>
      <c r="BG76" s="285"/>
      <c r="BH76" s="285"/>
      <c r="BI76" s="285"/>
      <c r="BJ76" s="285"/>
      <c r="BK76" s="285"/>
      <c r="BL76" s="285"/>
      <c r="BM76" s="285"/>
      <c r="BN76" s="285"/>
      <c r="BO76" s="285"/>
      <c r="BP76" s="285"/>
      <c r="BQ76" s="285"/>
      <c r="BR76" s="285"/>
      <c r="BS76" s="285"/>
      <c r="BT76" s="285"/>
      <c r="BU76" s="285"/>
      <c r="BV76" s="285"/>
      <c r="BW76" s="285"/>
      <c r="BX76" s="285"/>
      <c r="BY76" s="285"/>
      <c r="BZ76" s="285"/>
      <c r="CA76" s="285"/>
      <c r="CB76" s="285"/>
      <c r="CC76" s="285"/>
      <c r="CD76" s="285"/>
      <c r="CE76" s="285"/>
      <c r="CF76" s="285"/>
      <c r="CG76" s="285"/>
      <c r="CH76" s="285"/>
      <c r="CI76" s="285"/>
      <c r="CJ76" s="285"/>
      <c r="CK76" s="285"/>
      <c r="CL76" s="285"/>
      <c r="CM76" s="285"/>
      <c r="CN76" s="285"/>
      <c r="CO76" s="285"/>
      <c r="CP76" s="285"/>
      <c r="CQ76" s="285"/>
      <c r="CR76" s="285"/>
      <c r="CS76" s="285"/>
      <c r="CT76" s="285"/>
      <c r="CU76" s="285"/>
      <c r="CV76" s="285"/>
      <c r="CW76" s="285"/>
      <c r="CX76" s="285"/>
      <c r="CY76" s="285"/>
      <c r="CZ76" s="285"/>
      <c r="DA76" s="285"/>
      <c r="DB76" s="285"/>
      <c r="DC76" s="285"/>
      <c r="DD76" s="285"/>
      <c r="DE76" s="285"/>
      <c r="DF76" s="285"/>
      <c r="DG76" s="285"/>
      <c r="DH76" s="285"/>
      <c r="DI76" s="285"/>
      <c r="DJ76" s="285"/>
      <c r="DK76" s="285"/>
      <c r="DL76" s="285"/>
      <c r="DM76" s="285"/>
      <c r="DN76" s="285"/>
      <c r="DO76" s="285"/>
      <c r="DP76" s="285"/>
      <c r="DQ76" s="285"/>
      <c r="DR76" s="285"/>
      <c r="DS76" s="285"/>
      <c r="DT76" s="285"/>
      <c r="DU76" s="285"/>
      <c r="DV76" s="285"/>
      <c r="DW76" s="285"/>
      <c r="DX76" s="285"/>
      <c r="DY76" s="285"/>
      <c r="DZ76" s="285"/>
      <c r="EA76" s="285"/>
      <c r="EB76" s="285"/>
      <c r="EC76" s="285"/>
      <c r="ED76" s="285"/>
      <c r="EE76" s="285"/>
      <c r="EF76" s="285"/>
      <c r="EG76" s="285"/>
      <c r="EH76" s="285"/>
      <c r="EI76" s="285"/>
      <c r="EJ76" s="285"/>
      <c r="EK76" s="285"/>
      <c r="EL76" s="285"/>
      <c r="EM76" s="285"/>
      <c r="EN76" s="285"/>
      <c r="EO76" s="285"/>
      <c r="EP76" s="285"/>
      <c r="EQ76" s="285"/>
      <c r="ER76" s="285"/>
      <c r="ES76" s="285"/>
      <c r="ET76" s="285"/>
      <c r="EU76" s="285"/>
      <c r="EV76" s="285"/>
      <c r="EW76" s="285"/>
      <c r="EX76" s="285"/>
      <c r="EY76" s="285"/>
      <c r="EZ76" s="285"/>
      <c r="FA76" s="285"/>
      <c r="FB76" s="285"/>
      <c r="FC76" s="285"/>
      <c r="FD76" s="285"/>
      <c r="FE76" s="285"/>
      <c r="FF76" s="285"/>
      <c r="FG76" s="285"/>
      <c r="FH76" s="285"/>
      <c r="FI76" s="285"/>
      <c r="FJ76" s="285"/>
      <c r="FK76" s="285"/>
      <c r="FL76" s="285"/>
      <c r="FM76" s="285"/>
      <c r="FN76" s="285"/>
      <c r="FO76" s="285"/>
      <c r="FP76" s="285"/>
      <c r="FQ76" s="285"/>
      <c r="FR76" s="285"/>
      <c r="FS76" s="285"/>
      <c r="FT76" s="285"/>
      <c r="FU76" s="285"/>
      <c r="FV76" s="285"/>
      <c r="FW76" s="285"/>
      <c r="FX76" s="285"/>
      <c r="FY76" s="285"/>
      <c r="FZ76" s="285"/>
      <c r="GA76" s="285"/>
      <c r="GB76" s="285"/>
      <c r="GC76" s="285"/>
      <c r="GD76" s="285"/>
      <c r="GE76" s="285"/>
      <c r="GF76" s="285"/>
      <c r="GG76" s="285"/>
      <c r="GH76" s="285"/>
      <c r="GI76" s="285"/>
      <c r="GJ76" s="285"/>
      <c r="GK76" s="285"/>
      <c r="GL76" s="285"/>
      <c r="GM76" s="285"/>
      <c r="GN76" s="285"/>
      <c r="GO76" s="285"/>
      <c r="GP76" s="285"/>
      <c r="GQ76" s="285"/>
      <c r="GR76" s="285"/>
      <c r="GS76" s="285"/>
      <c r="GT76" s="285"/>
      <c r="GU76" s="285"/>
      <c r="GV76" s="285"/>
      <c r="GW76" s="285"/>
      <c r="GX76" s="285"/>
      <c r="GY76" s="285"/>
      <c r="GZ76" s="285"/>
      <c r="HA76" s="285"/>
      <c r="HB76" s="285"/>
      <c r="HC76" s="285"/>
      <c r="HD76" s="285"/>
      <c r="HE76" s="285"/>
      <c r="HF76" s="285"/>
      <c r="HG76" s="285"/>
      <c r="HH76" s="285"/>
      <c r="HI76" s="285"/>
      <c r="HJ76" s="285"/>
      <c r="HK76" s="285"/>
      <c r="HL76" s="285"/>
      <c r="HM76" s="285"/>
      <c r="HN76" s="285"/>
      <c r="HO76" s="285"/>
      <c r="HP76" s="285"/>
      <c r="HQ76" s="285"/>
      <c r="HR76" s="285"/>
      <c r="HS76" s="285"/>
      <c r="HT76" s="285"/>
      <c r="HU76" s="285"/>
      <c r="HV76" s="285"/>
      <c r="HW76" s="285"/>
      <c r="HX76" s="285"/>
      <c r="HY76" s="285"/>
      <c r="HZ76" s="285"/>
      <c r="IA76" s="285"/>
      <c r="IB76" s="285"/>
      <c r="IC76" s="285"/>
      <c r="ID76" s="285"/>
      <c r="IE76" s="285"/>
      <c r="IF76" s="285"/>
      <c r="IG76" s="285"/>
      <c r="IH76" s="285"/>
      <c r="II76" s="285"/>
      <c r="IJ76" s="285"/>
      <c r="IK76" s="285"/>
      <c r="IL76" s="285"/>
      <c r="IM76" s="285"/>
      <c r="IN76" s="285"/>
      <c r="IO76" s="285"/>
      <c r="IP76" s="285"/>
      <c r="IQ76" s="285"/>
      <c r="IR76" s="285"/>
      <c r="IS76" s="285"/>
      <c r="IT76" s="285"/>
      <c r="IU76" s="285"/>
      <c r="IV76" s="285"/>
      <c r="IW76" s="285"/>
      <c r="IX76" s="285"/>
      <c r="IY76" s="285"/>
      <c r="IZ76" s="285"/>
      <c r="JA76" s="285"/>
      <c r="JB76" s="285"/>
      <c r="JC76" s="285"/>
      <c r="JD76" s="285"/>
      <c r="JE76" s="285"/>
      <c r="JF76" s="285"/>
      <c r="JG76" s="285"/>
      <c r="JH76" s="285"/>
      <c r="JI76" s="285"/>
      <c r="JJ76" s="285"/>
      <c r="JK76" s="285"/>
      <c r="JL76" s="285"/>
      <c r="JM76" s="285"/>
      <c r="JN76" s="285"/>
      <c r="JO76" s="285"/>
      <c r="JP76" s="285"/>
      <c r="JQ76" s="285"/>
      <c r="JR76" s="285"/>
      <c r="JS76" s="285"/>
      <c r="JT76" s="285"/>
      <c r="JU76" s="285"/>
      <c r="JV76" s="285"/>
      <c r="JW76" s="285"/>
      <c r="JX76" s="285"/>
      <c r="JY76" s="285"/>
      <c r="JZ76" s="285"/>
      <c r="KA76" s="285"/>
      <c r="KB76" s="285"/>
      <c r="KC76" s="285"/>
      <c r="KD76" s="285"/>
      <c r="KE76" s="285"/>
      <c r="KF76" s="285"/>
      <c r="KG76" s="285"/>
      <c r="KH76" s="285"/>
      <c r="KI76" s="285"/>
      <c r="KJ76" s="285"/>
      <c r="KK76" s="285"/>
      <c r="KL76" s="285"/>
      <c r="KM76" s="285"/>
      <c r="KN76" s="285"/>
      <c r="KO76" s="285"/>
      <c r="KP76" s="285"/>
      <c r="KQ76" s="285"/>
      <c r="KR76" s="285"/>
      <c r="KS76" s="285"/>
      <c r="KT76" s="285"/>
      <c r="KU76" s="285"/>
      <c r="KV76" s="285"/>
      <c r="KW76" s="285"/>
      <c r="KX76" s="285"/>
      <c r="KY76" s="285"/>
      <c r="KZ76" s="285"/>
      <c r="LA76" s="285"/>
      <c r="LB76" s="285"/>
      <c r="LC76" s="285"/>
      <c r="LD76" s="285"/>
      <c r="LE76" s="285"/>
      <c r="LF76" s="285"/>
      <c r="LG76" s="285"/>
      <c r="LH76" s="285"/>
      <c r="LI76" s="285"/>
      <c r="LJ76" s="285"/>
      <c r="LK76" s="285"/>
      <c r="LL76" s="285"/>
      <c r="LM76" s="285"/>
      <c r="LN76" s="285"/>
      <c r="LO76" s="285"/>
      <c r="LP76" s="285"/>
      <c r="LQ76" s="285"/>
      <c r="LR76" s="285"/>
      <c r="LS76" s="285"/>
      <c r="LT76" s="285"/>
      <c r="LU76" s="285"/>
      <c r="LV76" s="285"/>
      <c r="LW76" s="285"/>
      <c r="LX76" s="285"/>
      <c r="LY76" s="285"/>
      <c r="LZ76" s="285"/>
      <c r="MA76" s="285"/>
      <c r="MB76" s="285"/>
      <c r="MC76" s="285"/>
      <c r="MD76" s="285"/>
      <c r="ME76" s="285"/>
      <c r="MF76" s="285"/>
      <c r="MG76" s="285"/>
      <c r="MH76" s="285"/>
      <c r="MI76" s="285"/>
      <c r="MJ76" s="285"/>
      <c r="MK76" s="285"/>
      <c r="ML76" s="285"/>
      <c r="MM76" s="285"/>
      <c r="MN76" s="285"/>
      <c r="MO76" s="285"/>
      <c r="MP76" s="285"/>
      <c r="MQ76" s="285"/>
      <c r="MR76" s="285"/>
      <c r="MS76" s="285"/>
      <c r="MT76" s="285"/>
      <c r="MU76" s="285"/>
      <c r="MV76" s="285"/>
      <c r="MW76" s="285"/>
      <c r="MX76" s="285"/>
      <c r="MY76" s="285"/>
      <c r="MZ76" s="285"/>
      <c r="NA76" s="285"/>
      <c r="NB76" s="285"/>
      <c r="NC76" s="285"/>
      <c r="ND76" s="285"/>
      <c r="NE76" s="285"/>
      <c r="NF76" s="285"/>
      <c r="NG76" s="285"/>
      <c r="NH76" s="285"/>
      <c r="NI76" s="285"/>
      <c r="NJ76" s="285"/>
      <c r="NK76" s="285"/>
      <c r="NL76" s="285"/>
      <c r="NM76" s="285"/>
      <c r="NN76" s="285"/>
      <c r="NO76" s="285"/>
      <c r="NP76" s="285"/>
      <c r="NQ76" s="285"/>
      <c r="NR76" s="285"/>
      <c r="NS76" s="285"/>
      <c r="NT76" s="285"/>
      <c r="NU76" s="285"/>
      <c r="NV76" s="285"/>
      <c r="NW76" s="285"/>
      <c r="NX76" s="285"/>
      <c r="NY76" s="285"/>
      <c r="NZ76" s="285"/>
      <c r="OA76" s="285"/>
      <c r="OB76" s="285"/>
      <c r="OC76" s="285"/>
      <c r="OD76" s="285"/>
      <c r="OE76" s="285"/>
      <c r="OF76" s="285"/>
      <c r="OG76" s="285"/>
      <c r="OH76" s="285"/>
      <c r="OI76" s="285"/>
      <c r="OJ76" s="285"/>
      <c r="OK76" s="285"/>
      <c r="OL76" s="285"/>
      <c r="OM76" s="285"/>
      <c r="ON76" s="285"/>
      <c r="OO76" s="285"/>
      <c r="OP76" s="285"/>
      <c r="OQ76" s="285"/>
      <c r="OR76" s="285"/>
      <c r="OS76" s="285"/>
      <c r="OT76" s="285"/>
      <c r="OU76" s="285"/>
      <c r="OV76" s="285"/>
      <c r="OW76" s="285"/>
      <c r="OX76" s="285"/>
      <c r="OY76" s="285"/>
      <c r="OZ76" s="285"/>
      <c r="PA76" s="285"/>
      <c r="PB76" s="285"/>
      <c r="PC76" s="285"/>
      <c r="PD76" s="285"/>
      <c r="PE76" s="285"/>
      <c r="PF76" s="285"/>
      <c r="PG76" s="285"/>
      <c r="PH76" s="285"/>
      <c r="PI76" s="285"/>
      <c r="PJ76" s="285"/>
      <c r="PK76" s="285"/>
      <c r="PL76" s="285"/>
      <c r="PM76" s="285"/>
      <c r="PN76" s="285"/>
      <c r="PO76" s="285"/>
      <c r="PP76" s="285"/>
      <c r="PQ76" s="285"/>
      <c r="PR76" s="285"/>
      <c r="PS76" s="285"/>
      <c r="PT76" s="285"/>
      <c r="PU76" s="285"/>
      <c r="PV76" s="285"/>
      <c r="PW76" s="285"/>
      <c r="PX76" s="285"/>
      <c r="PY76" s="285"/>
      <c r="PZ76" s="285"/>
      <c r="QA76" s="285"/>
      <c r="QB76" s="285"/>
      <c r="QC76" s="285"/>
      <c r="QD76" s="285"/>
      <c r="QE76" s="285"/>
      <c r="QF76" s="285"/>
      <c r="QG76" s="285"/>
      <c r="QH76" s="285"/>
      <c r="QI76" s="285"/>
      <c r="QJ76" s="285"/>
      <c r="QK76" s="285"/>
      <c r="QL76" s="285"/>
      <c r="QM76" s="285"/>
      <c r="QN76" s="285"/>
      <c r="QO76" s="285"/>
      <c r="QP76" s="285"/>
      <c r="QQ76" s="285"/>
    </row>
    <row r="77" spans="1:459" s="117" customFormat="1" ht="16.5" customHeight="1" x14ac:dyDescent="0.2">
      <c r="A77" s="4"/>
      <c r="B77" s="247"/>
      <c r="C77" s="247"/>
      <c r="D77" s="247"/>
      <c r="E77" s="247"/>
      <c r="F77" s="247"/>
      <c r="G77" s="247"/>
      <c r="H77" s="247"/>
      <c r="I77" s="247"/>
      <c r="J77" s="247"/>
      <c r="K77" s="247"/>
      <c r="L77" s="247"/>
      <c r="M77" s="247"/>
      <c r="N77" s="247"/>
      <c r="O77" s="247"/>
      <c r="Q77" s="284"/>
      <c r="R77" s="285"/>
      <c r="S77" s="285"/>
      <c r="T77" s="285"/>
      <c r="U77" s="285"/>
      <c r="V77" s="285"/>
      <c r="W77" s="285"/>
      <c r="X77" s="285"/>
      <c r="Y77" s="285"/>
      <c r="Z77" s="285"/>
      <c r="AA77" s="285"/>
      <c r="AB77" s="285"/>
      <c r="AC77" s="285"/>
      <c r="AD77" s="285"/>
      <c r="AE77" s="285"/>
      <c r="AF77" s="285"/>
      <c r="AG77" s="285"/>
      <c r="AH77" s="285"/>
      <c r="AI77" s="285"/>
      <c r="AJ77" s="285"/>
      <c r="AK77" s="285"/>
      <c r="AL77" s="285"/>
      <c r="AM77" s="285"/>
      <c r="AN77" s="285"/>
      <c r="AO77" s="285"/>
      <c r="AP77" s="285"/>
      <c r="AQ77" s="285"/>
      <c r="AR77" s="285"/>
      <c r="AS77" s="285"/>
      <c r="AT77" s="285"/>
      <c r="AU77" s="285"/>
      <c r="AV77" s="285"/>
      <c r="AW77" s="285"/>
      <c r="AX77" s="285"/>
      <c r="AY77" s="285"/>
      <c r="AZ77" s="285"/>
      <c r="BA77" s="285"/>
      <c r="BB77" s="285"/>
      <c r="BC77" s="285"/>
      <c r="BD77" s="285"/>
      <c r="BE77" s="285"/>
      <c r="BF77" s="285"/>
      <c r="BG77" s="285"/>
      <c r="BH77" s="285"/>
      <c r="BI77" s="285"/>
      <c r="BJ77" s="285"/>
      <c r="BK77" s="285"/>
      <c r="BL77" s="285"/>
      <c r="BM77" s="285"/>
      <c r="BN77" s="285"/>
      <c r="BO77" s="285"/>
      <c r="BP77" s="285"/>
      <c r="BQ77" s="285"/>
      <c r="BR77" s="285"/>
      <c r="BS77" s="285"/>
      <c r="BT77" s="285"/>
      <c r="BU77" s="285"/>
      <c r="BV77" s="285"/>
      <c r="BW77" s="285"/>
      <c r="BX77" s="285"/>
      <c r="BY77" s="285"/>
      <c r="BZ77" s="285"/>
      <c r="CA77" s="285"/>
      <c r="CB77" s="285"/>
      <c r="CC77" s="285"/>
      <c r="CD77" s="285"/>
      <c r="CE77" s="285"/>
      <c r="CF77" s="285"/>
      <c r="CG77" s="285"/>
      <c r="CH77" s="285"/>
      <c r="CI77" s="285"/>
      <c r="CJ77" s="285"/>
      <c r="CK77" s="285"/>
      <c r="CL77" s="285"/>
      <c r="CM77" s="285"/>
      <c r="CN77" s="285"/>
      <c r="CO77" s="285"/>
      <c r="CP77" s="285"/>
      <c r="CQ77" s="285"/>
      <c r="CR77" s="285"/>
      <c r="CS77" s="285"/>
      <c r="CT77" s="285"/>
      <c r="CU77" s="285"/>
      <c r="CV77" s="285"/>
      <c r="CW77" s="285"/>
      <c r="CX77" s="285"/>
      <c r="CY77" s="285"/>
      <c r="CZ77" s="285"/>
      <c r="DA77" s="285"/>
      <c r="DB77" s="285"/>
      <c r="DC77" s="285"/>
      <c r="DD77" s="285"/>
      <c r="DE77" s="285"/>
      <c r="DF77" s="285"/>
      <c r="DG77" s="285"/>
      <c r="DH77" s="285"/>
      <c r="DI77" s="285"/>
      <c r="DJ77" s="285"/>
      <c r="DK77" s="285"/>
      <c r="DL77" s="285"/>
      <c r="DM77" s="285"/>
      <c r="DN77" s="285"/>
      <c r="DO77" s="285"/>
      <c r="DP77" s="285"/>
      <c r="DQ77" s="285"/>
      <c r="DR77" s="285"/>
      <c r="DS77" s="285"/>
      <c r="DT77" s="285"/>
      <c r="DU77" s="285"/>
      <c r="DV77" s="285"/>
      <c r="DW77" s="285"/>
      <c r="DX77" s="285"/>
      <c r="DY77" s="285"/>
      <c r="DZ77" s="285"/>
      <c r="EA77" s="285"/>
      <c r="EB77" s="285"/>
      <c r="EC77" s="285"/>
      <c r="ED77" s="285"/>
      <c r="EE77" s="285"/>
      <c r="EF77" s="285"/>
      <c r="EG77" s="285"/>
      <c r="EH77" s="285"/>
      <c r="EI77" s="285"/>
      <c r="EJ77" s="285"/>
      <c r="EK77" s="285"/>
      <c r="EL77" s="285"/>
      <c r="EM77" s="285"/>
      <c r="EN77" s="285"/>
      <c r="EO77" s="285"/>
      <c r="EP77" s="285"/>
      <c r="EQ77" s="285"/>
      <c r="ER77" s="285"/>
      <c r="ES77" s="285"/>
      <c r="ET77" s="285"/>
      <c r="EU77" s="285"/>
      <c r="EV77" s="285"/>
      <c r="EW77" s="285"/>
      <c r="EX77" s="285"/>
      <c r="EY77" s="285"/>
      <c r="EZ77" s="285"/>
      <c r="FA77" s="285"/>
      <c r="FB77" s="285"/>
      <c r="FC77" s="285"/>
      <c r="FD77" s="285"/>
      <c r="FE77" s="285"/>
      <c r="FF77" s="285"/>
      <c r="FG77" s="285"/>
      <c r="FH77" s="285"/>
      <c r="FI77" s="285"/>
      <c r="FJ77" s="285"/>
      <c r="FK77" s="285"/>
      <c r="FL77" s="285"/>
      <c r="FM77" s="285"/>
      <c r="FN77" s="285"/>
      <c r="FO77" s="285"/>
      <c r="FP77" s="285"/>
      <c r="FQ77" s="285"/>
      <c r="FR77" s="285"/>
      <c r="FS77" s="285"/>
      <c r="FT77" s="285"/>
      <c r="FU77" s="285"/>
      <c r="FV77" s="285"/>
      <c r="FW77" s="285"/>
      <c r="FX77" s="285"/>
      <c r="FY77" s="285"/>
      <c r="FZ77" s="285"/>
      <c r="GA77" s="285"/>
      <c r="GB77" s="285"/>
      <c r="GC77" s="285"/>
      <c r="GD77" s="285"/>
      <c r="GE77" s="285"/>
      <c r="GF77" s="285"/>
      <c r="GG77" s="285"/>
      <c r="GH77" s="285"/>
      <c r="GI77" s="285"/>
      <c r="GJ77" s="285"/>
      <c r="GK77" s="285"/>
      <c r="GL77" s="285"/>
      <c r="GM77" s="285"/>
      <c r="GN77" s="285"/>
      <c r="GO77" s="285"/>
      <c r="GP77" s="285"/>
      <c r="GQ77" s="285"/>
      <c r="GR77" s="285"/>
      <c r="GS77" s="285"/>
      <c r="GT77" s="285"/>
      <c r="GU77" s="285"/>
      <c r="GV77" s="285"/>
      <c r="GW77" s="285"/>
      <c r="GX77" s="285"/>
      <c r="GY77" s="285"/>
      <c r="GZ77" s="285"/>
      <c r="HA77" s="285"/>
      <c r="HB77" s="285"/>
      <c r="HC77" s="285"/>
      <c r="HD77" s="285"/>
      <c r="HE77" s="285"/>
      <c r="HF77" s="285"/>
      <c r="HG77" s="285"/>
      <c r="HH77" s="285"/>
      <c r="HI77" s="285"/>
      <c r="HJ77" s="285"/>
      <c r="HK77" s="285"/>
      <c r="HL77" s="285"/>
      <c r="HM77" s="285"/>
      <c r="HN77" s="285"/>
      <c r="HO77" s="285"/>
      <c r="HP77" s="285"/>
      <c r="HQ77" s="285"/>
      <c r="HR77" s="285"/>
      <c r="HS77" s="285"/>
      <c r="HT77" s="285"/>
      <c r="HU77" s="285"/>
      <c r="HV77" s="285"/>
      <c r="HW77" s="285"/>
      <c r="HX77" s="285"/>
      <c r="HY77" s="285"/>
      <c r="HZ77" s="285"/>
      <c r="IA77" s="285"/>
      <c r="IB77" s="285"/>
      <c r="IC77" s="285"/>
      <c r="ID77" s="285"/>
      <c r="IE77" s="285"/>
      <c r="IF77" s="285"/>
      <c r="IG77" s="285"/>
      <c r="IH77" s="285"/>
      <c r="II77" s="285"/>
      <c r="IJ77" s="285"/>
      <c r="IK77" s="285"/>
      <c r="IL77" s="285"/>
      <c r="IM77" s="285"/>
      <c r="IN77" s="285"/>
      <c r="IO77" s="285"/>
      <c r="IP77" s="285"/>
      <c r="IQ77" s="285"/>
      <c r="IR77" s="285"/>
      <c r="IS77" s="285"/>
      <c r="IT77" s="285"/>
      <c r="IU77" s="285"/>
      <c r="IV77" s="285"/>
      <c r="IW77" s="285"/>
      <c r="IX77" s="285"/>
      <c r="IY77" s="285"/>
      <c r="IZ77" s="285"/>
      <c r="JA77" s="285"/>
      <c r="JB77" s="285"/>
      <c r="JC77" s="285"/>
      <c r="JD77" s="285"/>
      <c r="JE77" s="285"/>
      <c r="JF77" s="285"/>
      <c r="JG77" s="285"/>
      <c r="JH77" s="285"/>
      <c r="JI77" s="285"/>
      <c r="JJ77" s="285"/>
      <c r="JK77" s="285"/>
      <c r="JL77" s="285"/>
      <c r="JM77" s="285"/>
      <c r="JN77" s="285"/>
      <c r="JO77" s="285"/>
      <c r="JP77" s="285"/>
      <c r="JQ77" s="285"/>
      <c r="JR77" s="285"/>
      <c r="JS77" s="285"/>
      <c r="JT77" s="285"/>
      <c r="JU77" s="285"/>
      <c r="JV77" s="285"/>
      <c r="JW77" s="285"/>
      <c r="JX77" s="285"/>
      <c r="JY77" s="285"/>
      <c r="JZ77" s="285"/>
      <c r="KA77" s="285"/>
      <c r="KB77" s="285"/>
      <c r="KC77" s="285"/>
      <c r="KD77" s="285"/>
      <c r="KE77" s="285"/>
      <c r="KF77" s="285"/>
      <c r="KG77" s="285"/>
      <c r="KH77" s="285"/>
      <c r="KI77" s="285"/>
      <c r="KJ77" s="285"/>
      <c r="KK77" s="285"/>
      <c r="KL77" s="285"/>
      <c r="KM77" s="285"/>
      <c r="KN77" s="285"/>
      <c r="KO77" s="285"/>
      <c r="KP77" s="285"/>
      <c r="KQ77" s="285"/>
      <c r="KR77" s="285"/>
      <c r="KS77" s="285"/>
      <c r="KT77" s="285"/>
      <c r="KU77" s="285"/>
      <c r="KV77" s="285"/>
      <c r="KW77" s="285"/>
      <c r="KX77" s="285"/>
      <c r="KY77" s="285"/>
      <c r="KZ77" s="285"/>
      <c r="LA77" s="285"/>
      <c r="LB77" s="285"/>
      <c r="LC77" s="285"/>
      <c r="LD77" s="285"/>
      <c r="LE77" s="285"/>
      <c r="LF77" s="285"/>
      <c r="LG77" s="285"/>
      <c r="LH77" s="285"/>
      <c r="LI77" s="285"/>
      <c r="LJ77" s="285"/>
      <c r="LK77" s="285"/>
      <c r="LL77" s="285"/>
      <c r="LM77" s="285"/>
      <c r="LN77" s="285"/>
      <c r="LO77" s="285"/>
      <c r="LP77" s="285"/>
      <c r="LQ77" s="285"/>
      <c r="LR77" s="285"/>
      <c r="LS77" s="285"/>
      <c r="LT77" s="285"/>
      <c r="LU77" s="285"/>
      <c r="LV77" s="285"/>
      <c r="LW77" s="285"/>
      <c r="LX77" s="285"/>
      <c r="LY77" s="285"/>
      <c r="LZ77" s="285"/>
      <c r="MA77" s="285"/>
      <c r="MB77" s="285"/>
      <c r="MC77" s="285"/>
      <c r="MD77" s="285"/>
      <c r="ME77" s="285"/>
      <c r="MF77" s="285"/>
      <c r="MG77" s="285"/>
      <c r="MH77" s="285"/>
      <c r="MI77" s="285"/>
      <c r="MJ77" s="285"/>
      <c r="MK77" s="285"/>
      <c r="ML77" s="285"/>
      <c r="MM77" s="285"/>
      <c r="MN77" s="285"/>
      <c r="MO77" s="285"/>
      <c r="MP77" s="285"/>
      <c r="MQ77" s="285"/>
      <c r="MR77" s="285"/>
      <c r="MS77" s="285"/>
      <c r="MT77" s="285"/>
      <c r="MU77" s="285"/>
      <c r="MV77" s="285"/>
      <c r="MW77" s="285"/>
      <c r="MX77" s="285"/>
      <c r="MY77" s="285"/>
      <c r="MZ77" s="285"/>
      <c r="NA77" s="285"/>
      <c r="NB77" s="285"/>
      <c r="NC77" s="285"/>
      <c r="ND77" s="285"/>
      <c r="NE77" s="285"/>
      <c r="NF77" s="285"/>
      <c r="NG77" s="285"/>
      <c r="NH77" s="285"/>
      <c r="NI77" s="285"/>
      <c r="NJ77" s="285"/>
      <c r="NK77" s="285"/>
      <c r="NL77" s="285"/>
      <c r="NM77" s="285"/>
      <c r="NN77" s="285"/>
      <c r="NO77" s="285"/>
      <c r="NP77" s="285"/>
      <c r="NQ77" s="285"/>
      <c r="NR77" s="285"/>
      <c r="NS77" s="285"/>
      <c r="NT77" s="285"/>
      <c r="NU77" s="285"/>
      <c r="NV77" s="285"/>
      <c r="NW77" s="285"/>
      <c r="NX77" s="285"/>
      <c r="NY77" s="285"/>
      <c r="NZ77" s="285"/>
      <c r="OA77" s="285"/>
      <c r="OB77" s="285"/>
      <c r="OC77" s="285"/>
      <c r="OD77" s="285"/>
      <c r="OE77" s="285"/>
      <c r="OF77" s="285"/>
      <c r="OG77" s="285"/>
      <c r="OH77" s="285"/>
      <c r="OI77" s="285"/>
      <c r="OJ77" s="285"/>
      <c r="OK77" s="285"/>
      <c r="OL77" s="285"/>
      <c r="OM77" s="285"/>
      <c r="ON77" s="285"/>
      <c r="OO77" s="285"/>
      <c r="OP77" s="285"/>
      <c r="OQ77" s="285"/>
      <c r="OR77" s="285"/>
      <c r="OS77" s="285"/>
      <c r="OT77" s="285"/>
      <c r="OU77" s="285"/>
      <c r="OV77" s="285"/>
      <c r="OW77" s="285"/>
      <c r="OX77" s="285"/>
      <c r="OY77" s="285"/>
      <c r="OZ77" s="285"/>
      <c r="PA77" s="285"/>
      <c r="PB77" s="285"/>
      <c r="PC77" s="285"/>
      <c r="PD77" s="285"/>
      <c r="PE77" s="285"/>
      <c r="PF77" s="285"/>
      <c r="PG77" s="285"/>
      <c r="PH77" s="285"/>
      <c r="PI77" s="285"/>
      <c r="PJ77" s="285"/>
      <c r="PK77" s="285"/>
      <c r="PL77" s="285"/>
      <c r="PM77" s="285"/>
      <c r="PN77" s="285"/>
      <c r="PO77" s="285"/>
      <c r="PP77" s="285"/>
      <c r="PQ77" s="285"/>
      <c r="PR77" s="285"/>
      <c r="PS77" s="285"/>
      <c r="PT77" s="285"/>
      <c r="PU77" s="285"/>
      <c r="PV77" s="285"/>
      <c r="PW77" s="285"/>
      <c r="PX77" s="285"/>
      <c r="PY77" s="285"/>
      <c r="PZ77" s="285"/>
      <c r="QA77" s="285"/>
      <c r="QB77" s="285"/>
      <c r="QC77" s="285"/>
      <c r="QD77" s="285"/>
      <c r="QE77" s="285"/>
      <c r="QF77" s="285"/>
      <c r="QG77" s="285"/>
      <c r="QH77" s="285"/>
      <c r="QI77" s="285"/>
      <c r="QJ77" s="285"/>
      <c r="QK77" s="285"/>
      <c r="QL77" s="285"/>
      <c r="QM77" s="285"/>
      <c r="QN77" s="285"/>
      <c r="QO77" s="285"/>
      <c r="QP77" s="285"/>
      <c r="QQ77" s="285"/>
    </row>
    <row r="78" spans="1:459" s="117" customFormat="1" x14ac:dyDescent="0.2">
      <c r="A78" s="4"/>
      <c r="B78" s="247"/>
      <c r="C78" s="247"/>
      <c r="D78" s="247"/>
      <c r="E78" s="247"/>
      <c r="F78" s="247"/>
      <c r="G78" s="247"/>
      <c r="H78" s="247"/>
      <c r="I78" s="247"/>
      <c r="J78" s="247"/>
      <c r="K78" s="247"/>
      <c r="L78" s="247"/>
      <c r="M78" s="247"/>
      <c r="N78" s="247"/>
      <c r="O78" s="247"/>
      <c r="Q78" s="284"/>
      <c r="R78" s="285"/>
      <c r="S78" s="285"/>
      <c r="T78" s="285"/>
      <c r="U78" s="285"/>
      <c r="V78" s="285"/>
      <c r="W78" s="285"/>
      <c r="X78" s="285"/>
      <c r="Y78" s="285"/>
      <c r="Z78" s="285"/>
      <c r="AA78" s="285"/>
      <c r="AB78" s="285"/>
      <c r="AC78" s="285"/>
      <c r="AD78" s="285"/>
      <c r="AE78" s="285"/>
      <c r="AF78" s="285"/>
      <c r="AG78" s="285"/>
      <c r="AH78" s="285"/>
      <c r="AI78" s="285"/>
      <c r="AJ78" s="285"/>
      <c r="AK78" s="285"/>
      <c r="AL78" s="285"/>
      <c r="AM78" s="285"/>
      <c r="AN78" s="285"/>
      <c r="AO78" s="285"/>
      <c r="AP78" s="285"/>
      <c r="AQ78" s="285"/>
      <c r="AR78" s="285"/>
      <c r="AS78" s="285"/>
      <c r="AT78" s="285"/>
      <c r="AU78" s="285"/>
      <c r="AV78" s="285"/>
      <c r="AW78" s="285"/>
      <c r="AX78" s="285"/>
      <c r="AY78" s="285"/>
      <c r="AZ78" s="285"/>
      <c r="BA78" s="285"/>
      <c r="BB78" s="285"/>
      <c r="BC78" s="285"/>
      <c r="BD78" s="285"/>
      <c r="BE78" s="285"/>
      <c r="BF78" s="285"/>
      <c r="BG78" s="285"/>
      <c r="BH78" s="285"/>
      <c r="BI78" s="285"/>
      <c r="BJ78" s="285"/>
      <c r="BK78" s="285"/>
      <c r="BL78" s="285"/>
      <c r="BM78" s="285"/>
      <c r="BN78" s="285"/>
      <c r="BO78" s="285"/>
      <c r="BP78" s="285"/>
      <c r="BQ78" s="285"/>
      <c r="BR78" s="285"/>
      <c r="BS78" s="285"/>
      <c r="BT78" s="285"/>
      <c r="BU78" s="285"/>
      <c r="BV78" s="285"/>
      <c r="BW78" s="285"/>
      <c r="BX78" s="285"/>
      <c r="BY78" s="285"/>
      <c r="BZ78" s="285"/>
      <c r="CA78" s="285"/>
      <c r="CB78" s="285"/>
      <c r="CC78" s="285"/>
      <c r="CD78" s="285"/>
      <c r="CE78" s="285"/>
      <c r="CF78" s="285"/>
      <c r="CG78" s="285"/>
      <c r="CH78" s="285"/>
      <c r="CI78" s="285"/>
      <c r="CJ78" s="285"/>
      <c r="CK78" s="285"/>
      <c r="CL78" s="285"/>
      <c r="CM78" s="285"/>
      <c r="CN78" s="285"/>
      <c r="CO78" s="285"/>
      <c r="CP78" s="285"/>
      <c r="CQ78" s="285"/>
      <c r="CR78" s="285"/>
      <c r="CS78" s="285"/>
      <c r="CT78" s="285"/>
      <c r="CU78" s="285"/>
      <c r="CV78" s="285"/>
      <c r="CW78" s="285"/>
      <c r="CX78" s="285"/>
      <c r="CY78" s="285"/>
      <c r="CZ78" s="285"/>
      <c r="DA78" s="285"/>
      <c r="DB78" s="285"/>
      <c r="DC78" s="285"/>
      <c r="DD78" s="285"/>
      <c r="DE78" s="285"/>
      <c r="DF78" s="285"/>
      <c r="DG78" s="285"/>
      <c r="DH78" s="285"/>
      <c r="DI78" s="285"/>
      <c r="DJ78" s="285"/>
      <c r="DK78" s="285"/>
      <c r="DL78" s="285"/>
      <c r="DM78" s="285"/>
      <c r="DN78" s="285"/>
      <c r="DO78" s="285"/>
      <c r="DP78" s="285"/>
      <c r="DQ78" s="285"/>
      <c r="DR78" s="285"/>
      <c r="DS78" s="285"/>
      <c r="DT78" s="285"/>
      <c r="DU78" s="285"/>
      <c r="DV78" s="285"/>
      <c r="DW78" s="285"/>
      <c r="DX78" s="285"/>
      <c r="DY78" s="285"/>
      <c r="DZ78" s="285"/>
      <c r="EA78" s="285"/>
      <c r="EB78" s="285"/>
      <c r="EC78" s="285"/>
      <c r="ED78" s="285"/>
      <c r="EE78" s="285"/>
      <c r="EF78" s="285"/>
      <c r="EG78" s="285"/>
      <c r="EH78" s="285"/>
      <c r="EI78" s="285"/>
      <c r="EJ78" s="285"/>
      <c r="EK78" s="285"/>
      <c r="EL78" s="285"/>
      <c r="EM78" s="285"/>
      <c r="EN78" s="285"/>
      <c r="EO78" s="285"/>
      <c r="EP78" s="285"/>
      <c r="EQ78" s="285"/>
      <c r="ER78" s="285"/>
      <c r="ES78" s="285"/>
      <c r="ET78" s="285"/>
      <c r="EU78" s="285"/>
      <c r="EV78" s="285"/>
      <c r="EW78" s="285"/>
      <c r="EX78" s="285"/>
      <c r="EY78" s="285"/>
      <c r="EZ78" s="285"/>
      <c r="FA78" s="285"/>
      <c r="FB78" s="285"/>
      <c r="FC78" s="285"/>
      <c r="FD78" s="285"/>
      <c r="FE78" s="285"/>
      <c r="FF78" s="285"/>
      <c r="FG78" s="285"/>
      <c r="FH78" s="285"/>
      <c r="FI78" s="285"/>
      <c r="FJ78" s="285"/>
      <c r="FK78" s="285"/>
      <c r="FL78" s="285"/>
      <c r="FM78" s="285"/>
      <c r="FN78" s="285"/>
      <c r="FO78" s="285"/>
      <c r="FP78" s="285"/>
      <c r="FQ78" s="285"/>
      <c r="FR78" s="285"/>
      <c r="FS78" s="285"/>
      <c r="FT78" s="285"/>
      <c r="FU78" s="285"/>
      <c r="FV78" s="285"/>
      <c r="FW78" s="285"/>
      <c r="FX78" s="285"/>
      <c r="FY78" s="285"/>
      <c r="FZ78" s="285"/>
      <c r="GA78" s="285"/>
      <c r="GB78" s="285"/>
      <c r="GC78" s="285"/>
      <c r="GD78" s="285"/>
      <c r="GE78" s="285"/>
      <c r="GF78" s="285"/>
      <c r="GG78" s="285"/>
      <c r="GH78" s="285"/>
      <c r="GI78" s="285"/>
      <c r="GJ78" s="285"/>
      <c r="GK78" s="285"/>
      <c r="GL78" s="285"/>
      <c r="GM78" s="285"/>
      <c r="GN78" s="285"/>
      <c r="GO78" s="285"/>
      <c r="GP78" s="285"/>
      <c r="GQ78" s="285"/>
      <c r="GR78" s="285"/>
      <c r="GS78" s="285"/>
      <c r="GT78" s="285"/>
      <c r="GU78" s="285"/>
      <c r="GV78" s="285"/>
      <c r="GW78" s="285"/>
      <c r="GX78" s="285"/>
      <c r="GY78" s="285"/>
      <c r="GZ78" s="285"/>
      <c r="HA78" s="285"/>
      <c r="HB78" s="285"/>
      <c r="HC78" s="285"/>
      <c r="HD78" s="285"/>
      <c r="HE78" s="285"/>
      <c r="HF78" s="285"/>
      <c r="HG78" s="285"/>
      <c r="HH78" s="285"/>
      <c r="HI78" s="285"/>
      <c r="HJ78" s="285"/>
      <c r="HK78" s="285"/>
      <c r="HL78" s="285"/>
      <c r="HM78" s="285"/>
      <c r="HN78" s="285"/>
      <c r="HO78" s="285"/>
      <c r="HP78" s="285"/>
      <c r="HQ78" s="285"/>
      <c r="HR78" s="285"/>
      <c r="HS78" s="285"/>
      <c r="HT78" s="285"/>
      <c r="HU78" s="285"/>
      <c r="HV78" s="285"/>
      <c r="HW78" s="285"/>
      <c r="HX78" s="285"/>
      <c r="HY78" s="285"/>
      <c r="HZ78" s="285"/>
      <c r="IA78" s="285"/>
      <c r="IB78" s="285"/>
      <c r="IC78" s="285"/>
      <c r="ID78" s="285"/>
      <c r="IE78" s="285"/>
      <c r="IF78" s="285"/>
      <c r="IG78" s="285"/>
      <c r="IH78" s="285"/>
      <c r="II78" s="285"/>
      <c r="IJ78" s="285"/>
      <c r="IK78" s="285"/>
      <c r="IL78" s="285"/>
      <c r="IM78" s="285"/>
      <c r="IN78" s="285"/>
      <c r="IO78" s="285"/>
      <c r="IP78" s="285"/>
      <c r="IQ78" s="285"/>
      <c r="IR78" s="285"/>
      <c r="IS78" s="285"/>
      <c r="IT78" s="285"/>
      <c r="IU78" s="285"/>
      <c r="IV78" s="285"/>
      <c r="IW78" s="285"/>
      <c r="IX78" s="285"/>
      <c r="IY78" s="285"/>
      <c r="IZ78" s="285"/>
      <c r="JA78" s="285"/>
      <c r="JB78" s="285"/>
      <c r="JC78" s="285"/>
      <c r="JD78" s="285"/>
      <c r="JE78" s="285"/>
      <c r="JF78" s="285"/>
      <c r="JG78" s="285"/>
      <c r="JH78" s="285"/>
      <c r="JI78" s="285"/>
      <c r="JJ78" s="285"/>
      <c r="JK78" s="285"/>
      <c r="JL78" s="285"/>
      <c r="JM78" s="285"/>
      <c r="JN78" s="285"/>
      <c r="JO78" s="285"/>
      <c r="JP78" s="285"/>
      <c r="JQ78" s="285"/>
      <c r="JR78" s="285"/>
      <c r="JS78" s="285"/>
      <c r="JT78" s="285"/>
      <c r="JU78" s="285"/>
      <c r="JV78" s="285"/>
      <c r="JW78" s="285"/>
      <c r="JX78" s="285"/>
      <c r="JY78" s="285"/>
      <c r="JZ78" s="285"/>
      <c r="KA78" s="285"/>
      <c r="KB78" s="285"/>
      <c r="KC78" s="285"/>
      <c r="KD78" s="285"/>
      <c r="KE78" s="285"/>
      <c r="KF78" s="285"/>
      <c r="KG78" s="285"/>
      <c r="KH78" s="285"/>
      <c r="KI78" s="285"/>
      <c r="KJ78" s="285"/>
      <c r="KK78" s="285"/>
      <c r="KL78" s="285"/>
      <c r="KM78" s="285"/>
      <c r="KN78" s="285"/>
      <c r="KO78" s="285"/>
      <c r="KP78" s="285"/>
      <c r="KQ78" s="285"/>
      <c r="KR78" s="285"/>
      <c r="KS78" s="285"/>
      <c r="KT78" s="285"/>
      <c r="KU78" s="285"/>
      <c r="KV78" s="285"/>
      <c r="KW78" s="285"/>
      <c r="KX78" s="285"/>
      <c r="KY78" s="285"/>
      <c r="KZ78" s="285"/>
      <c r="LA78" s="285"/>
      <c r="LB78" s="285"/>
      <c r="LC78" s="285"/>
      <c r="LD78" s="285"/>
      <c r="LE78" s="285"/>
      <c r="LF78" s="285"/>
      <c r="LG78" s="285"/>
      <c r="LH78" s="285"/>
      <c r="LI78" s="285"/>
      <c r="LJ78" s="285"/>
      <c r="LK78" s="285"/>
      <c r="LL78" s="285"/>
      <c r="LM78" s="285"/>
      <c r="LN78" s="285"/>
      <c r="LO78" s="285"/>
      <c r="LP78" s="285"/>
      <c r="LQ78" s="285"/>
      <c r="LR78" s="285"/>
      <c r="LS78" s="285"/>
      <c r="LT78" s="285"/>
      <c r="LU78" s="285"/>
      <c r="LV78" s="285"/>
      <c r="LW78" s="285"/>
      <c r="LX78" s="285"/>
      <c r="LY78" s="285"/>
      <c r="LZ78" s="285"/>
      <c r="MA78" s="285"/>
      <c r="MB78" s="285"/>
      <c r="MC78" s="285"/>
      <c r="MD78" s="285"/>
      <c r="ME78" s="285"/>
      <c r="MF78" s="285"/>
      <c r="MG78" s="285"/>
      <c r="MH78" s="285"/>
      <c r="MI78" s="285"/>
      <c r="MJ78" s="285"/>
      <c r="MK78" s="285"/>
      <c r="ML78" s="285"/>
      <c r="MM78" s="285"/>
      <c r="MN78" s="285"/>
      <c r="MO78" s="285"/>
      <c r="MP78" s="285"/>
      <c r="MQ78" s="285"/>
      <c r="MR78" s="285"/>
      <c r="MS78" s="285"/>
      <c r="MT78" s="285"/>
      <c r="MU78" s="285"/>
      <c r="MV78" s="285"/>
      <c r="MW78" s="285"/>
      <c r="MX78" s="285"/>
      <c r="MY78" s="285"/>
      <c r="MZ78" s="285"/>
      <c r="NA78" s="285"/>
      <c r="NB78" s="285"/>
      <c r="NC78" s="285"/>
      <c r="ND78" s="285"/>
      <c r="NE78" s="285"/>
      <c r="NF78" s="285"/>
      <c r="NG78" s="285"/>
      <c r="NH78" s="285"/>
      <c r="NI78" s="285"/>
      <c r="NJ78" s="285"/>
      <c r="NK78" s="285"/>
      <c r="NL78" s="285"/>
      <c r="NM78" s="285"/>
      <c r="NN78" s="285"/>
      <c r="NO78" s="285"/>
      <c r="NP78" s="285"/>
      <c r="NQ78" s="285"/>
      <c r="NR78" s="285"/>
      <c r="NS78" s="285"/>
      <c r="NT78" s="285"/>
      <c r="NU78" s="285"/>
      <c r="NV78" s="285"/>
      <c r="NW78" s="285"/>
      <c r="NX78" s="285"/>
      <c r="NY78" s="285"/>
      <c r="NZ78" s="285"/>
      <c r="OA78" s="285"/>
      <c r="OB78" s="285"/>
      <c r="OC78" s="285"/>
      <c r="OD78" s="285"/>
      <c r="OE78" s="285"/>
      <c r="OF78" s="285"/>
      <c r="OG78" s="285"/>
      <c r="OH78" s="285"/>
      <c r="OI78" s="285"/>
      <c r="OJ78" s="285"/>
      <c r="OK78" s="285"/>
      <c r="OL78" s="285"/>
      <c r="OM78" s="285"/>
      <c r="ON78" s="285"/>
      <c r="OO78" s="285"/>
      <c r="OP78" s="285"/>
      <c r="OQ78" s="285"/>
      <c r="OR78" s="285"/>
      <c r="OS78" s="285"/>
      <c r="OT78" s="285"/>
      <c r="OU78" s="285"/>
      <c r="OV78" s="285"/>
      <c r="OW78" s="285"/>
      <c r="OX78" s="285"/>
      <c r="OY78" s="285"/>
      <c r="OZ78" s="285"/>
      <c r="PA78" s="285"/>
      <c r="PB78" s="285"/>
      <c r="PC78" s="285"/>
      <c r="PD78" s="285"/>
      <c r="PE78" s="285"/>
      <c r="PF78" s="285"/>
      <c r="PG78" s="285"/>
      <c r="PH78" s="285"/>
      <c r="PI78" s="285"/>
      <c r="PJ78" s="285"/>
      <c r="PK78" s="285"/>
      <c r="PL78" s="285"/>
      <c r="PM78" s="285"/>
      <c r="PN78" s="285"/>
      <c r="PO78" s="285"/>
      <c r="PP78" s="285"/>
      <c r="PQ78" s="285"/>
      <c r="PR78" s="285"/>
      <c r="PS78" s="285"/>
      <c r="PT78" s="285"/>
      <c r="PU78" s="285"/>
      <c r="PV78" s="285"/>
      <c r="PW78" s="285"/>
      <c r="PX78" s="285"/>
      <c r="PY78" s="285"/>
      <c r="PZ78" s="285"/>
      <c r="QA78" s="285"/>
      <c r="QB78" s="285"/>
      <c r="QC78" s="285"/>
      <c r="QD78" s="285"/>
      <c r="QE78" s="285"/>
      <c r="QF78" s="285"/>
      <c r="QG78" s="285"/>
      <c r="QH78" s="285"/>
      <c r="QI78" s="285"/>
      <c r="QJ78" s="285"/>
      <c r="QK78" s="285"/>
      <c r="QL78" s="285"/>
      <c r="QM78" s="285"/>
      <c r="QN78" s="285"/>
      <c r="QO78" s="285"/>
      <c r="QP78" s="285"/>
      <c r="QQ78" s="285"/>
    </row>
    <row r="79" spans="1:459" s="117" customFormat="1" x14ac:dyDescent="0.2">
      <c r="A79" s="4"/>
      <c r="B79" s="247"/>
      <c r="C79" s="247"/>
      <c r="D79" s="247"/>
      <c r="E79" s="247"/>
      <c r="F79" s="247"/>
      <c r="G79" s="247"/>
      <c r="H79" s="247"/>
      <c r="I79" s="247"/>
      <c r="J79" s="247"/>
      <c r="K79" s="247"/>
      <c r="L79" s="247"/>
      <c r="M79" s="247"/>
      <c r="N79" s="247"/>
      <c r="O79" s="247"/>
      <c r="Q79" s="284"/>
      <c r="R79" s="285"/>
      <c r="S79" s="285"/>
      <c r="T79" s="285"/>
      <c r="U79" s="285"/>
      <c r="V79" s="285"/>
      <c r="W79" s="285"/>
      <c r="X79" s="285"/>
      <c r="Y79" s="285"/>
      <c r="Z79" s="285"/>
      <c r="AA79" s="285"/>
      <c r="AB79" s="285"/>
      <c r="AC79" s="285"/>
      <c r="AD79" s="285"/>
      <c r="AE79" s="285"/>
      <c r="AF79" s="285"/>
      <c r="AG79" s="285"/>
      <c r="AH79" s="285"/>
      <c r="AI79" s="285"/>
      <c r="AJ79" s="285"/>
      <c r="AK79" s="285"/>
      <c r="AL79" s="285"/>
      <c r="AM79" s="285"/>
      <c r="AN79" s="285"/>
      <c r="AO79" s="285"/>
      <c r="AP79" s="285"/>
      <c r="AQ79" s="285"/>
      <c r="AR79" s="285"/>
      <c r="AS79" s="285"/>
      <c r="AT79" s="285"/>
      <c r="AU79" s="285"/>
      <c r="AV79" s="285"/>
      <c r="AW79" s="285"/>
      <c r="AX79" s="285"/>
      <c r="AY79" s="285"/>
      <c r="AZ79" s="285"/>
      <c r="BA79" s="285"/>
      <c r="BB79" s="285"/>
      <c r="BC79" s="285"/>
      <c r="BD79" s="285"/>
      <c r="BE79" s="285"/>
      <c r="BF79" s="285"/>
      <c r="BG79" s="285"/>
      <c r="BH79" s="285"/>
      <c r="BI79" s="285"/>
      <c r="BJ79" s="285"/>
      <c r="BK79" s="285"/>
      <c r="BL79" s="285"/>
      <c r="BM79" s="285"/>
      <c r="BN79" s="285"/>
      <c r="BO79" s="285"/>
      <c r="BP79" s="285"/>
      <c r="BQ79" s="285"/>
      <c r="BR79" s="285"/>
      <c r="BS79" s="285"/>
      <c r="BT79" s="285"/>
      <c r="BU79" s="285"/>
      <c r="BV79" s="285"/>
      <c r="BW79" s="285"/>
      <c r="BX79" s="285"/>
      <c r="BY79" s="285"/>
      <c r="BZ79" s="285"/>
      <c r="CA79" s="285"/>
      <c r="CB79" s="285"/>
      <c r="CC79" s="285"/>
      <c r="CD79" s="285"/>
      <c r="CE79" s="285"/>
      <c r="CF79" s="285"/>
      <c r="CG79" s="285"/>
      <c r="CH79" s="285"/>
      <c r="CI79" s="285"/>
      <c r="CJ79" s="285"/>
      <c r="CK79" s="285"/>
      <c r="CL79" s="285"/>
      <c r="CM79" s="285"/>
      <c r="CN79" s="285"/>
      <c r="CO79" s="285"/>
      <c r="CP79" s="285"/>
      <c r="CQ79" s="285"/>
      <c r="CR79" s="285"/>
      <c r="CS79" s="285"/>
      <c r="CT79" s="285"/>
      <c r="CU79" s="285"/>
      <c r="CV79" s="285"/>
      <c r="CW79" s="285"/>
      <c r="CX79" s="285"/>
      <c r="CY79" s="285"/>
      <c r="CZ79" s="285"/>
      <c r="DA79" s="285"/>
      <c r="DB79" s="285"/>
      <c r="DC79" s="285"/>
      <c r="DD79" s="285"/>
      <c r="DE79" s="285"/>
      <c r="DF79" s="285"/>
      <c r="DG79" s="285"/>
      <c r="DH79" s="285"/>
      <c r="DI79" s="285"/>
      <c r="DJ79" s="285"/>
      <c r="DK79" s="285"/>
      <c r="DL79" s="285"/>
      <c r="DM79" s="285"/>
      <c r="DN79" s="285"/>
      <c r="DO79" s="285"/>
      <c r="DP79" s="285"/>
      <c r="DQ79" s="285"/>
      <c r="DR79" s="285"/>
      <c r="DS79" s="285"/>
      <c r="DT79" s="285"/>
      <c r="DU79" s="285"/>
      <c r="DV79" s="285"/>
      <c r="DW79" s="285"/>
      <c r="DX79" s="285"/>
      <c r="DY79" s="285"/>
      <c r="DZ79" s="285"/>
      <c r="EA79" s="285"/>
      <c r="EB79" s="285"/>
      <c r="EC79" s="285"/>
      <c r="ED79" s="285"/>
      <c r="EE79" s="285"/>
      <c r="EF79" s="285"/>
      <c r="EG79" s="285"/>
      <c r="EH79" s="285"/>
      <c r="EI79" s="285"/>
      <c r="EJ79" s="285"/>
      <c r="EK79" s="285"/>
      <c r="EL79" s="285"/>
      <c r="EM79" s="285"/>
      <c r="EN79" s="285"/>
      <c r="EO79" s="285"/>
      <c r="EP79" s="285"/>
      <c r="EQ79" s="285"/>
      <c r="ER79" s="285"/>
      <c r="ES79" s="285"/>
      <c r="ET79" s="285"/>
      <c r="EU79" s="285"/>
      <c r="EV79" s="285"/>
      <c r="EW79" s="285"/>
      <c r="EX79" s="285"/>
      <c r="EY79" s="285"/>
      <c r="EZ79" s="285"/>
      <c r="FA79" s="285"/>
      <c r="FB79" s="285"/>
      <c r="FC79" s="285"/>
      <c r="FD79" s="285"/>
      <c r="FE79" s="285"/>
      <c r="FF79" s="285"/>
      <c r="FG79" s="285"/>
      <c r="FH79" s="285"/>
      <c r="FI79" s="285"/>
      <c r="FJ79" s="285"/>
      <c r="FK79" s="285"/>
      <c r="FL79" s="285"/>
      <c r="FM79" s="285"/>
      <c r="FN79" s="285"/>
      <c r="FO79" s="285"/>
      <c r="FP79" s="285"/>
      <c r="FQ79" s="285"/>
      <c r="FR79" s="285"/>
      <c r="FS79" s="285"/>
      <c r="FT79" s="285"/>
      <c r="FU79" s="285"/>
      <c r="FV79" s="285"/>
      <c r="FW79" s="285"/>
      <c r="FX79" s="285"/>
      <c r="FY79" s="285"/>
      <c r="FZ79" s="285"/>
      <c r="GA79" s="285"/>
      <c r="GB79" s="285"/>
      <c r="GC79" s="285"/>
      <c r="GD79" s="285"/>
      <c r="GE79" s="285"/>
      <c r="GF79" s="285"/>
      <c r="GG79" s="285"/>
      <c r="GH79" s="285"/>
      <c r="GI79" s="285"/>
      <c r="GJ79" s="285"/>
      <c r="GK79" s="285"/>
      <c r="GL79" s="285"/>
      <c r="GM79" s="285"/>
      <c r="GN79" s="285"/>
      <c r="GO79" s="285"/>
      <c r="GP79" s="285"/>
      <c r="GQ79" s="285"/>
      <c r="GR79" s="285"/>
      <c r="GS79" s="285"/>
      <c r="GT79" s="285"/>
      <c r="GU79" s="285"/>
      <c r="GV79" s="285"/>
      <c r="GW79" s="285"/>
      <c r="GX79" s="285"/>
      <c r="GY79" s="285"/>
      <c r="GZ79" s="285"/>
      <c r="HA79" s="285"/>
      <c r="HB79" s="285"/>
      <c r="HC79" s="285"/>
      <c r="HD79" s="285"/>
      <c r="HE79" s="285"/>
      <c r="HF79" s="285"/>
      <c r="HG79" s="285"/>
      <c r="HH79" s="285"/>
      <c r="HI79" s="285"/>
      <c r="HJ79" s="285"/>
      <c r="HK79" s="285"/>
      <c r="HL79" s="285"/>
      <c r="HM79" s="285"/>
      <c r="HN79" s="285"/>
      <c r="HO79" s="285"/>
      <c r="HP79" s="285"/>
      <c r="HQ79" s="285"/>
      <c r="HR79" s="285"/>
      <c r="HS79" s="285"/>
      <c r="HT79" s="285"/>
      <c r="HU79" s="285"/>
      <c r="HV79" s="285"/>
      <c r="HW79" s="285"/>
      <c r="HX79" s="285"/>
      <c r="HY79" s="285"/>
      <c r="HZ79" s="285"/>
      <c r="IA79" s="285"/>
      <c r="IB79" s="285"/>
      <c r="IC79" s="285"/>
      <c r="ID79" s="285"/>
      <c r="IE79" s="285"/>
      <c r="IF79" s="285"/>
      <c r="IG79" s="285"/>
      <c r="IH79" s="285"/>
      <c r="II79" s="285"/>
      <c r="IJ79" s="285"/>
      <c r="IK79" s="285"/>
      <c r="IL79" s="285"/>
      <c r="IM79" s="285"/>
      <c r="IN79" s="285"/>
      <c r="IO79" s="285"/>
      <c r="IP79" s="285"/>
      <c r="IQ79" s="285"/>
      <c r="IR79" s="285"/>
      <c r="IS79" s="285"/>
      <c r="IT79" s="285"/>
      <c r="IU79" s="285"/>
      <c r="IV79" s="285"/>
      <c r="IW79" s="285"/>
      <c r="IX79" s="285"/>
      <c r="IY79" s="285"/>
      <c r="IZ79" s="285"/>
      <c r="JA79" s="285"/>
      <c r="JB79" s="285"/>
      <c r="JC79" s="285"/>
      <c r="JD79" s="285"/>
      <c r="JE79" s="285"/>
      <c r="JF79" s="285"/>
      <c r="JG79" s="285"/>
      <c r="JH79" s="285"/>
      <c r="JI79" s="285"/>
      <c r="JJ79" s="285"/>
      <c r="JK79" s="285"/>
      <c r="JL79" s="285"/>
      <c r="JM79" s="285"/>
      <c r="JN79" s="285"/>
      <c r="JO79" s="285"/>
      <c r="JP79" s="285"/>
      <c r="JQ79" s="285"/>
      <c r="JR79" s="285"/>
      <c r="JS79" s="285"/>
      <c r="JT79" s="285"/>
      <c r="JU79" s="285"/>
      <c r="JV79" s="285"/>
      <c r="JW79" s="285"/>
      <c r="JX79" s="285"/>
      <c r="JY79" s="285"/>
      <c r="JZ79" s="285"/>
      <c r="KA79" s="285"/>
      <c r="KB79" s="285"/>
      <c r="KC79" s="285"/>
      <c r="KD79" s="285"/>
      <c r="KE79" s="285"/>
      <c r="KF79" s="285"/>
      <c r="KG79" s="285"/>
      <c r="KH79" s="285"/>
      <c r="KI79" s="285"/>
      <c r="KJ79" s="285"/>
      <c r="KK79" s="285"/>
      <c r="KL79" s="285"/>
      <c r="KM79" s="285"/>
      <c r="KN79" s="285"/>
      <c r="KO79" s="285"/>
      <c r="KP79" s="285"/>
      <c r="KQ79" s="285"/>
      <c r="KR79" s="285"/>
      <c r="KS79" s="285"/>
      <c r="KT79" s="285"/>
      <c r="KU79" s="285"/>
      <c r="KV79" s="285"/>
      <c r="KW79" s="285"/>
      <c r="KX79" s="285"/>
      <c r="KY79" s="285"/>
      <c r="KZ79" s="285"/>
      <c r="LA79" s="285"/>
      <c r="LB79" s="285"/>
      <c r="LC79" s="285"/>
      <c r="LD79" s="285"/>
      <c r="LE79" s="285"/>
      <c r="LF79" s="285"/>
      <c r="LG79" s="285"/>
      <c r="LH79" s="285"/>
      <c r="LI79" s="285"/>
      <c r="LJ79" s="285"/>
      <c r="LK79" s="285"/>
      <c r="LL79" s="285"/>
      <c r="LM79" s="285"/>
      <c r="LN79" s="285"/>
      <c r="LO79" s="285"/>
      <c r="LP79" s="285"/>
      <c r="LQ79" s="285"/>
      <c r="LR79" s="285"/>
      <c r="LS79" s="285"/>
      <c r="LT79" s="285"/>
      <c r="LU79" s="285"/>
      <c r="LV79" s="285"/>
      <c r="LW79" s="285"/>
      <c r="LX79" s="285"/>
      <c r="LY79" s="285"/>
      <c r="LZ79" s="285"/>
      <c r="MA79" s="285"/>
      <c r="MB79" s="285"/>
      <c r="MC79" s="285"/>
      <c r="MD79" s="285"/>
      <c r="ME79" s="285"/>
      <c r="MF79" s="285"/>
      <c r="MG79" s="285"/>
      <c r="MH79" s="285"/>
      <c r="MI79" s="285"/>
      <c r="MJ79" s="285"/>
      <c r="MK79" s="285"/>
      <c r="ML79" s="285"/>
      <c r="MM79" s="285"/>
      <c r="MN79" s="285"/>
      <c r="MO79" s="285"/>
      <c r="MP79" s="285"/>
      <c r="MQ79" s="285"/>
      <c r="MR79" s="285"/>
      <c r="MS79" s="285"/>
      <c r="MT79" s="285"/>
      <c r="MU79" s="285"/>
      <c r="MV79" s="285"/>
      <c r="MW79" s="285"/>
      <c r="MX79" s="285"/>
      <c r="MY79" s="285"/>
      <c r="MZ79" s="285"/>
      <c r="NA79" s="285"/>
      <c r="NB79" s="285"/>
      <c r="NC79" s="285"/>
      <c r="ND79" s="285"/>
      <c r="NE79" s="285"/>
      <c r="NF79" s="285"/>
      <c r="NG79" s="285"/>
      <c r="NH79" s="285"/>
      <c r="NI79" s="285"/>
      <c r="NJ79" s="285"/>
      <c r="NK79" s="285"/>
      <c r="NL79" s="285"/>
      <c r="NM79" s="285"/>
      <c r="NN79" s="285"/>
      <c r="NO79" s="285"/>
      <c r="NP79" s="285"/>
      <c r="NQ79" s="285"/>
      <c r="NR79" s="285"/>
      <c r="NS79" s="285"/>
      <c r="NT79" s="285"/>
      <c r="NU79" s="285"/>
      <c r="NV79" s="285"/>
      <c r="NW79" s="285"/>
      <c r="NX79" s="285"/>
      <c r="NY79" s="285"/>
      <c r="NZ79" s="285"/>
      <c r="OA79" s="285"/>
      <c r="OB79" s="285"/>
      <c r="OC79" s="285"/>
      <c r="OD79" s="285"/>
      <c r="OE79" s="285"/>
      <c r="OF79" s="285"/>
      <c r="OG79" s="285"/>
      <c r="OH79" s="285"/>
      <c r="OI79" s="285"/>
      <c r="OJ79" s="285"/>
      <c r="OK79" s="285"/>
      <c r="OL79" s="285"/>
      <c r="OM79" s="285"/>
      <c r="ON79" s="285"/>
      <c r="OO79" s="285"/>
      <c r="OP79" s="285"/>
      <c r="OQ79" s="285"/>
      <c r="OR79" s="285"/>
      <c r="OS79" s="285"/>
      <c r="OT79" s="285"/>
      <c r="OU79" s="285"/>
      <c r="OV79" s="285"/>
      <c r="OW79" s="285"/>
      <c r="OX79" s="285"/>
      <c r="OY79" s="285"/>
      <c r="OZ79" s="285"/>
      <c r="PA79" s="285"/>
      <c r="PB79" s="285"/>
      <c r="PC79" s="285"/>
      <c r="PD79" s="285"/>
      <c r="PE79" s="285"/>
      <c r="PF79" s="285"/>
      <c r="PG79" s="285"/>
      <c r="PH79" s="285"/>
      <c r="PI79" s="285"/>
      <c r="PJ79" s="285"/>
      <c r="PK79" s="285"/>
      <c r="PL79" s="285"/>
      <c r="PM79" s="285"/>
      <c r="PN79" s="285"/>
      <c r="PO79" s="285"/>
      <c r="PP79" s="285"/>
      <c r="PQ79" s="285"/>
      <c r="PR79" s="285"/>
      <c r="PS79" s="285"/>
      <c r="PT79" s="285"/>
      <c r="PU79" s="285"/>
      <c r="PV79" s="285"/>
      <c r="PW79" s="285"/>
      <c r="PX79" s="285"/>
      <c r="PY79" s="285"/>
      <c r="PZ79" s="285"/>
      <c r="QA79" s="285"/>
      <c r="QB79" s="285"/>
      <c r="QC79" s="285"/>
      <c r="QD79" s="285"/>
      <c r="QE79" s="285"/>
      <c r="QF79" s="285"/>
      <c r="QG79" s="285"/>
      <c r="QH79" s="285"/>
      <c r="QI79" s="285"/>
      <c r="QJ79" s="285"/>
      <c r="QK79" s="285"/>
      <c r="QL79" s="285"/>
      <c r="QM79" s="285"/>
      <c r="QN79" s="285"/>
      <c r="QO79" s="285"/>
      <c r="QP79" s="285"/>
      <c r="QQ79" s="285"/>
    </row>
    <row r="80" spans="1:459" s="117" customFormat="1" x14ac:dyDescent="0.2">
      <c r="A80" s="4"/>
      <c r="B80" s="247"/>
      <c r="C80" s="247"/>
      <c r="D80" s="247"/>
      <c r="E80" s="247"/>
      <c r="F80" s="247"/>
      <c r="G80" s="247"/>
      <c r="H80" s="247"/>
      <c r="I80" s="247"/>
      <c r="J80" s="247"/>
      <c r="K80" s="247"/>
      <c r="L80" s="247"/>
      <c r="M80" s="247"/>
      <c r="N80" s="247"/>
      <c r="O80" s="247"/>
      <c r="Q80" s="284"/>
      <c r="R80" s="285"/>
      <c r="S80" s="285"/>
      <c r="T80" s="285"/>
      <c r="U80" s="285"/>
      <c r="V80" s="285"/>
      <c r="W80" s="285"/>
      <c r="X80" s="285"/>
      <c r="Y80" s="285"/>
      <c r="Z80" s="285"/>
      <c r="AA80" s="285"/>
      <c r="AB80" s="285"/>
      <c r="AC80" s="285"/>
      <c r="AD80" s="285"/>
      <c r="AE80" s="285"/>
      <c r="AF80" s="285"/>
      <c r="AG80" s="285"/>
      <c r="AH80" s="285"/>
      <c r="AI80" s="285"/>
      <c r="AJ80" s="285"/>
      <c r="AK80" s="285"/>
      <c r="AL80" s="285"/>
      <c r="AM80" s="285"/>
      <c r="AN80" s="285"/>
      <c r="AO80" s="285"/>
      <c r="AP80" s="285"/>
      <c r="AQ80" s="285"/>
      <c r="AR80" s="285"/>
      <c r="AS80" s="285"/>
      <c r="AT80" s="285"/>
      <c r="AU80" s="285"/>
      <c r="AV80" s="285"/>
      <c r="AW80" s="285"/>
      <c r="AX80" s="285"/>
      <c r="AY80" s="285"/>
      <c r="AZ80" s="285"/>
      <c r="BA80" s="285"/>
      <c r="BB80" s="285"/>
      <c r="BC80" s="285"/>
      <c r="BD80" s="285"/>
      <c r="BE80" s="285"/>
      <c r="BF80" s="285"/>
      <c r="BG80" s="285"/>
      <c r="BH80" s="285"/>
      <c r="BI80" s="285"/>
      <c r="BJ80" s="285"/>
      <c r="BK80" s="285"/>
      <c r="BL80" s="285"/>
      <c r="BM80" s="285"/>
      <c r="BN80" s="285"/>
      <c r="BO80" s="285"/>
      <c r="BP80" s="285"/>
      <c r="BQ80" s="285"/>
      <c r="BR80" s="285"/>
      <c r="BS80" s="285"/>
      <c r="BT80" s="285"/>
      <c r="BU80" s="285"/>
      <c r="BV80" s="285"/>
      <c r="BW80" s="285"/>
      <c r="BX80" s="285"/>
      <c r="BY80" s="285"/>
      <c r="BZ80" s="285"/>
      <c r="CA80" s="285"/>
      <c r="CB80" s="285"/>
      <c r="CC80" s="285"/>
      <c r="CD80" s="285"/>
      <c r="CE80" s="285"/>
      <c r="CF80" s="285"/>
      <c r="CG80" s="285"/>
      <c r="CH80" s="285"/>
      <c r="CI80" s="285"/>
      <c r="CJ80" s="285"/>
      <c r="CK80" s="285"/>
      <c r="CL80" s="285"/>
      <c r="CM80" s="285"/>
      <c r="CN80" s="285"/>
      <c r="CO80" s="285"/>
      <c r="CP80" s="285"/>
      <c r="CQ80" s="285"/>
      <c r="CR80" s="285"/>
      <c r="CS80" s="285"/>
      <c r="CT80" s="285"/>
      <c r="CU80" s="285"/>
      <c r="CV80" s="285"/>
      <c r="CW80" s="285"/>
      <c r="CX80" s="285"/>
      <c r="CY80" s="285"/>
      <c r="CZ80" s="285"/>
      <c r="DA80" s="285"/>
      <c r="DB80" s="285"/>
      <c r="DC80" s="285"/>
      <c r="DD80" s="285"/>
      <c r="DE80" s="285"/>
      <c r="DF80" s="285"/>
      <c r="DG80" s="285"/>
      <c r="DH80" s="285"/>
      <c r="DI80" s="285"/>
      <c r="DJ80" s="285"/>
      <c r="DK80" s="285"/>
      <c r="DL80" s="285"/>
      <c r="DM80" s="285"/>
      <c r="DN80" s="285"/>
      <c r="DO80" s="285"/>
      <c r="DP80" s="285"/>
      <c r="DQ80" s="285"/>
      <c r="DR80" s="285"/>
      <c r="DS80" s="285"/>
      <c r="DT80" s="285"/>
      <c r="DU80" s="285"/>
      <c r="DV80" s="285"/>
      <c r="DW80" s="285"/>
      <c r="DX80" s="285"/>
      <c r="DY80" s="285"/>
      <c r="DZ80" s="285"/>
      <c r="EA80" s="285"/>
      <c r="EB80" s="285"/>
      <c r="EC80" s="285"/>
      <c r="ED80" s="285"/>
      <c r="EE80" s="285"/>
      <c r="EF80" s="285"/>
      <c r="EG80" s="285"/>
      <c r="EH80" s="285"/>
      <c r="EI80" s="285"/>
      <c r="EJ80" s="285"/>
      <c r="EK80" s="285"/>
      <c r="EL80" s="285"/>
      <c r="EM80" s="285"/>
      <c r="EN80" s="285"/>
      <c r="EO80" s="285"/>
      <c r="EP80" s="285"/>
      <c r="EQ80" s="285"/>
      <c r="ER80" s="285"/>
      <c r="ES80" s="285"/>
      <c r="ET80" s="285"/>
      <c r="EU80" s="285"/>
      <c r="EV80" s="285"/>
      <c r="EW80" s="285"/>
      <c r="EX80" s="285"/>
      <c r="EY80" s="285"/>
      <c r="EZ80" s="285"/>
      <c r="FA80" s="285"/>
      <c r="FB80" s="285"/>
      <c r="FC80" s="285"/>
      <c r="FD80" s="285"/>
      <c r="FE80" s="285"/>
      <c r="FF80" s="285"/>
      <c r="FG80" s="285"/>
      <c r="FH80" s="285"/>
      <c r="FI80" s="285"/>
      <c r="FJ80" s="285"/>
      <c r="FK80" s="285"/>
      <c r="FL80" s="285"/>
      <c r="FM80" s="285"/>
      <c r="FN80" s="285"/>
      <c r="FO80" s="285"/>
      <c r="FP80" s="285"/>
      <c r="FQ80" s="285"/>
      <c r="FR80" s="285"/>
      <c r="FS80" s="285"/>
      <c r="FT80" s="285"/>
      <c r="FU80" s="285"/>
      <c r="FV80" s="285"/>
      <c r="FW80" s="285"/>
      <c r="FX80" s="285"/>
      <c r="FY80" s="285"/>
      <c r="FZ80" s="285"/>
      <c r="GA80" s="285"/>
      <c r="GB80" s="285"/>
      <c r="GC80" s="285"/>
      <c r="GD80" s="285"/>
      <c r="GE80" s="285"/>
      <c r="GF80" s="285"/>
      <c r="GG80" s="285"/>
      <c r="GH80" s="285"/>
      <c r="GI80" s="285"/>
      <c r="GJ80" s="285"/>
      <c r="GK80" s="285"/>
      <c r="GL80" s="285"/>
      <c r="GM80" s="285"/>
      <c r="GN80" s="285"/>
      <c r="GO80" s="285"/>
      <c r="GP80" s="285"/>
      <c r="GQ80" s="285"/>
      <c r="GR80" s="285"/>
      <c r="GS80" s="285"/>
      <c r="GT80" s="285"/>
      <c r="GU80" s="285"/>
      <c r="GV80" s="285"/>
      <c r="GW80" s="285"/>
      <c r="GX80" s="285"/>
      <c r="GY80" s="285"/>
      <c r="GZ80" s="285"/>
      <c r="HA80" s="285"/>
      <c r="HB80" s="285"/>
      <c r="HC80" s="285"/>
      <c r="HD80" s="285"/>
      <c r="HE80" s="285"/>
      <c r="HF80" s="285"/>
      <c r="HG80" s="285"/>
      <c r="HH80" s="285"/>
      <c r="HI80" s="285"/>
      <c r="HJ80" s="285"/>
      <c r="HK80" s="285"/>
      <c r="HL80" s="285"/>
      <c r="HM80" s="285"/>
      <c r="HN80" s="285"/>
      <c r="HO80" s="285"/>
      <c r="HP80" s="285"/>
      <c r="HQ80" s="285"/>
      <c r="HR80" s="285"/>
      <c r="HS80" s="285"/>
      <c r="HT80" s="285"/>
      <c r="HU80" s="285"/>
      <c r="HV80" s="285"/>
      <c r="HW80" s="285"/>
      <c r="HX80" s="285"/>
      <c r="HY80" s="285"/>
      <c r="HZ80" s="285"/>
      <c r="IA80" s="285"/>
      <c r="IB80" s="285"/>
      <c r="IC80" s="285"/>
      <c r="ID80" s="285"/>
      <c r="IE80" s="285"/>
      <c r="IF80" s="285"/>
      <c r="IG80" s="285"/>
      <c r="IH80" s="285"/>
      <c r="II80" s="285"/>
      <c r="IJ80" s="285"/>
      <c r="IK80" s="285"/>
      <c r="IL80" s="285"/>
      <c r="IM80" s="285"/>
      <c r="IN80" s="285"/>
      <c r="IO80" s="285"/>
      <c r="IP80" s="285"/>
      <c r="IQ80" s="285"/>
      <c r="IR80" s="285"/>
      <c r="IS80" s="285"/>
      <c r="IT80" s="285"/>
      <c r="IU80" s="285"/>
      <c r="IV80" s="285"/>
      <c r="IW80" s="285"/>
      <c r="IX80" s="285"/>
      <c r="IY80" s="285"/>
      <c r="IZ80" s="285"/>
      <c r="JA80" s="285"/>
      <c r="JB80" s="285"/>
      <c r="JC80" s="285"/>
      <c r="JD80" s="285"/>
      <c r="JE80" s="285"/>
      <c r="JF80" s="285"/>
      <c r="JG80" s="285"/>
      <c r="JH80" s="285"/>
      <c r="JI80" s="285"/>
      <c r="JJ80" s="285"/>
      <c r="JK80" s="285"/>
      <c r="JL80" s="285"/>
      <c r="JM80" s="285"/>
      <c r="JN80" s="285"/>
      <c r="JO80" s="285"/>
      <c r="JP80" s="285"/>
      <c r="JQ80" s="285"/>
      <c r="JR80" s="285"/>
      <c r="JS80" s="285"/>
      <c r="JT80" s="285"/>
      <c r="JU80" s="285"/>
      <c r="JV80" s="285"/>
      <c r="JW80" s="285"/>
      <c r="JX80" s="285"/>
      <c r="JY80" s="285"/>
      <c r="JZ80" s="285"/>
      <c r="KA80" s="285"/>
      <c r="KB80" s="285"/>
      <c r="KC80" s="285"/>
      <c r="KD80" s="285"/>
      <c r="KE80" s="285"/>
      <c r="KF80" s="285"/>
      <c r="KG80" s="285"/>
      <c r="KH80" s="285"/>
      <c r="KI80" s="285"/>
      <c r="KJ80" s="285"/>
      <c r="KK80" s="285"/>
      <c r="KL80" s="285"/>
      <c r="KM80" s="285"/>
      <c r="KN80" s="285"/>
      <c r="KO80" s="285"/>
      <c r="KP80" s="285"/>
      <c r="KQ80" s="285"/>
      <c r="KR80" s="285"/>
      <c r="KS80" s="285"/>
      <c r="KT80" s="285"/>
      <c r="KU80" s="285"/>
      <c r="KV80" s="285"/>
      <c r="KW80" s="285"/>
      <c r="KX80" s="285"/>
      <c r="KY80" s="285"/>
      <c r="KZ80" s="285"/>
      <c r="LA80" s="285"/>
      <c r="LB80" s="285"/>
      <c r="LC80" s="285"/>
      <c r="LD80" s="285"/>
      <c r="LE80" s="285"/>
      <c r="LF80" s="285"/>
      <c r="LG80" s="285"/>
      <c r="LH80" s="285"/>
      <c r="LI80" s="285"/>
      <c r="LJ80" s="285"/>
      <c r="LK80" s="285"/>
      <c r="LL80" s="285"/>
      <c r="LM80" s="285"/>
      <c r="LN80" s="285"/>
      <c r="LO80" s="285"/>
      <c r="LP80" s="285"/>
      <c r="LQ80" s="285"/>
      <c r="LR80" s="285"/>
      <c r="LS80" s="285"/>
      <c r="LT80" s="285"/>
      <c r="LU80" s="285"/>
      <c r="LV80" s="285"/>
      <c r="LW80" s="285"/>
      <c r="LX80" s="285"/>
      <c r="LY80" s="285"/>
      <c r="LZ80" s="285"/>
      <c r="MA80" s="285"/>
      <c r="MB80" s="285"/>
      <c r="MC80" s="285"/>
      <c r="MD80" s="285"/>
      <c r="ME80" s="285"/>
      <c r="MF80" s="285"/>
      <c r="MG80" s="285"/>
      <c r="MH80" s="285"/>
      <c r="MI80" s="285"/>
      <c r="MJ80" s="285"/>
      <c r="MK80" s="285"/>
      <c r="ML80" s="285"/>
      <c r="MM80" s="285"/>
      <c r="MN80" s="285"/>
      <c r="MO80" s="285"/>
      <c r="MP80" s="285"/>
      <c r="MQ80" s="285"/>
      <c r="MR80" s="285"/>
      <c r="MS80" s="285"/>
      <c r="MT80" s="285"/>
      <c r="MU80" s="285"/>
      <c r="MV80" s="285"/>
      <c r="MW80" s="285"/>
      <c r="MX80" s="285"/>
      <c r="MY80" s="285"/>
      <c r="MZ80" s="285"/>
      <c r="NA80" s="285"/>
      <c r="NB80" s="285"/>
      <c r="NC80" s="285"/>
      <c r="ND80" s="285"/>
      <c r="NE80" s="285"/>
      <c r="NF80" s="285"/>
      <c r="NG80" s="285"/>
      <c r="NH80" s="285"/>
      <c r="NI80" s="285"/>
      <c r="NJ80" s="285"/>
      <c r="NK80" s="285"/>
      <c r="NL80" s="285"/>
      <c r="NM80" s="285"/>
      <c r="NN80" s="285"/>
      <c r="NO80" s="285"/>
      <c r="NP80" s="285"/>
      <c r="NQ80" s="285"/>
      <c r="NR80" s="285"/>
      <c r="NS80" s="285"/>
      <c r="NT80" s="285"/>
      <c r="NU80" s="285"/>
      <c r="NV80" s="285"/>
      <c r="NW80" s="285"/>
      <c r="NX80" s="285"/>
      <c r="NY80" s="285"/>
      <c r="NZ80" s="285"/>
      <c r="OA80" s="285"/>
      <c r="OB80" s="285"/>
      <c r="OC80" s="285"/>
      <c r="OD80" s="285"/>
      <c r="OE80" s="285"/>
      <c r="OF80" s="285"/>
      <c r="OG80" s="285"/>
      <c r="OH80" s="285"/>
      <c r="OI80" s="285"/>
      <c r="OJ80" s="285"/>
      <c r="OK80" s="285"/>
      <c r="OL80" s="285"/>
      <c r="OM80" s="285"/>
      <c r="ON80" s="285"/>
      <c r="OO80" s="285"/>
      <c r="OP80" s="285"/>
      <c r="OQ80" s="285"/>
      <c r="OR80" s="285"/>
      <c r="OS80" s="285"/>
      <c r="OT80" s="285"/>
      <c r="OU80" s="285"/>
      <c r="OV80" s="285"/>
      <c r="OW80" s="285"/>
      <c r="OX80" s="285"/>
      <c r="OY80" s="285"/>
      <c r="OZ80" s="285"/>
      <c r="PA80" s="285"/>
      <c r="PB80" s="285"/>
      <c r="PC80" s="285"/>
      <c r="PD80" s="285"/>
      <c r="PE80" s="285"/>
      <c r="PF80" s="285"/>
      <c r="PG80" s="285"/>
      <c r="PH80" s="285"/>
      <c r="PI80" s="285"/>
      <c r="PJ80" s="285"/>
      <c r="PK80" s="285"/>
      <c r="PL80" s="285"/>
      <c r="PM80" s="285"/>
      <c r="PN80" s="285"/>
      <c r="PO80" s="285"/>
      <c r="PP80" s="285"/>
      <c r="PQ80" s="285"/>
      <c r="PR80" s="285"/>
      <c r="PS80" s="285"/>
      <c r="PT80" s="285"/>
      <c r="PU80" s="285"/>
      <c r="PV80" s="285"/>
      <c r="PW80" s="285"/>
      <c r="PX80" s="285"/>
      <c r="PY80" s="285"/>
      <c r="PZ80" s="285"/>
      <c r="QA80" s="285"/>
      <c r="QB80" s="285"/>
      <c r="QC80" s="285"/>
      <c r="QD80" s="285"/>
      <c r="QE80" s="285"/>
      <c r="QF80" s="285"/>
      <c r="QG80" s="285"/>
      <c r="QH80" s="285"/>
      <c r="QI80" s="285"/>
      <c r="QJ80" s="285"/>
      <c r="QK80" s="285"/>
      <c r="QL80" s="285"/>
      <c r="QM80" s="285"/>
      <c r="QN80" s="285"/>
      <c r="QO80" s="285"/>
      <c r="QP80" s="285"/>
      <c r="QQ80" s="285"/>
    </row>
    <row r="81" spans="1:459" s="117" customFormat="1" x14ac:dyDescent="0.2">
      <c r="A81" s="4"/>
      <c r="B81" s="247"/>
      <c r="C81" s="247"/>
      <c r="D81" s="247"/>
      <c r="E81" s="247"/>
      <c r="F81" s="247"/>
      <c r="G81" s="247"/>
      <c r="H81" s="247"/>
      <c r="I81" s="247"/>
      <c r="J81" s="247"/>
      <c r="K81" s="247"/>
      <c r="L81" s="247"/>
      <c r="M81" s="247"/>
      <c r="N81" s="247"/>
      <c r="O81" s="247"/>
      <c r="Q81" s="284"/>
      <c r="R81" s="285"/>
      <c r="S81" s="285"/>
      <c r="T81" s="285"/>
      <c r="U81" s="285"/>
      <c r="V81" s="285"/>
      <c r="W81" s="285"/>
      <c r="X81" s="285"/>
      <c r="Y81" s="285"/>
      <c r="Z81" s="285"/>
      <c r="AA81" s="285"/>
      <c r="AB81" s="285"/>
      <c r="AC81" s="285"/>
      <c r="AD81" s="285"/>
      <c r="AE81" s="285"/>
      <c r="AF81" s="285"/>
      <c r="AG81" s="285"/>
      <c r="AH81" s="285"/>
      <c r="AI81" s="285"/>
      <c r="AJ81" s="285"/>
      <c r="AK81" s="285"/>
      <c r="AL81" s="285"/>
      <c r="AM81" s="285"/>
      <c r="AN81" s="285"/>
      <c r="AO81" s="285"/>
      <c r="AP81" s="285"/>
      <c r="AQ81" s="285"/>
      <c r="AR81" s="285"/>
      <c r="AS81" s="285"/>
      <c r="AT81" s="285"/>
      <c r="AU81" s="285"/>
      <c r="AV81" s="285"/>
      <c r="AW81" s="285"/>
      <c r="AX81" s="285"/>
      <c r="AY81" s="285"/>
      <c r="AZ81" s="285"/>
      <c r="BA81" s="285"/>
      <c r="BB81" s="285"/>
      <c r="BC81" s="285"/>
      <c r="BD81" s="285"/>
      <c r="BE81" s="285"/>
      <c r="BF81" s="285"/>
      <c r="BG81" s="285"/>
      <c r="BH81" s="285"/>
      <c r="BI81" s="285"/>
      <c r="BJ81" s="285"/>
      <c r="BK81" s="285"/>
      <c r="BL81" s="285"/>
      <c r="BM81" s="285"/>
      <c r="BN81" s="285"/>
      <c r="BO81" s="285"/>
      <c r="BP81" s="285"/>
      <c r="BQ81" s="285"/>
      <c r="BR81" s="285"/>
      <c r="BS81" s="285"/>
      <c r="BT81" s="285"/>
      <c r="BU81" s="285"/>
      <c r="BV81" s="285"/>
      <c r="BW81" s="285"/>
      <c r="BX81" s="285"/>
      <c r="BY81" s="285"/>
      <c r="BZ81" s="285"/>
      <c r="CA81" s="285"/>
      <c r="CB81" s="285"/>
      <c r="CC81" s="285"/>
      <c r="CD81" s="285"/>
      <c r="CE81" s="285"/>
      <c r="CF81" s="285"/>
      <c r="CG81" s="285"/>
      <c r="CH81" s="285"/>
      <c r="CI81" s="285"/>
      <c r="CJ81" s="285"/>
      <c r="CK81" s="285"/>
      <c r="CL81" s="285"/>
      <c r="CM81" s="285"/>
      <c r="CN81" s="285"/>
      <c r="CO81" s="285"/>
      <c r="CP81" s="285"/>
      <c r="CQ81" s="285"/>
      <c r="CR81" s="285"/>
      <c r="CS81" s="285"/>
      <c r="CT81" s="285"/>
      <c r="CU81" s="285"/>
      <c r="CV81" s="285"/>
      <c r="CW81" s="285"/>
      <c r="CX81" s="285"/>
      <c r="CY81" s="285"/>
      <c r="CZ81" s="285"/>
      <c r="DA81" s="285"/>
      <c r="DB81" s="285"/>
      <c r="DC81" s="285"/>
      <c r="DD81" s="285"/>
      <c r="DE81" s="285"/>
      <c r="DF81" s="285"/>
      <c r="DG81" s="285"/>
      <c r="DH81" s="285"/>
      <c r="DI81" s="285"/>
      <c r="DJ81" s="285"/>
      <c r="DK81" s="285"/>
      <c r="DL81" s="285"/>
      <c r="DM81" s="285"/>
      <c r="DN81" s="285"/>
      <c r="DO81" s="285"/>
      <c r="DP81" s="285"/>
      <c r="DQ81" s="285"/>
      <c r="DR81" s="285"/>
      <c r="DS81" s="285"/>
      <c r="DT81" s="285"/>
      <c r="DU81" s="285"/>
      <c r="DV81" s="285"/>
      <c r="DW81" s="285"/>
      <c r="DX81" s="285"/>
      <c r="DY81" s="285"/>
      <c r="DZ81" s="285"/>
      <c r="EA81" s="285"/>
      <c r="EB81" s="285"/>
      <c r="EC81" s="285"/>
      <c r="ED81" s="285"/>
      <c r="EE81" s="285"/>
      <c r="EF81" s="285"/>
      <c r="EG81" s="285"/>
      <c r="EH81" s="285"/>
      <c r="EI81" s="285"/>
      <c r="EJ81" s="285"/>
      <c r="EK81" s="285"/>
      <c r="EL81" s="285"/>
      <c r="EM81" s="285"/>
      <c r="EN81" s="285"/>
      <c r="EO81" s="285"/>
      <c r="EP81" s="285"/>
      <c r="EQ81" s="285"/>
      <c r="ER81" s="285"/>
      <c r="ES81" s="285"/>
      <c r="ET81" s="285"/>
      <c r="EU81" s="285"/>
      <c r="EV81" s="285"/>
      <c r="EW81" s="285"/>
      <c r="EX81" s="285"/>
      <c r="EY81" s="285"/>
      <c r="EZ81" s="285"/>
      <c r="FA81" s="285"/>
      <c r="FB81" s="285"/>
      <c r="FC81" s="285"/>
      <c r="FD81" s="285"/>
      <c r="FE81" s="285"/>
      <c r="FF81" s="285"/>
      <c r="FG81" s="285"/>
      <c r="FH81" s="285"/>
      <c r="FI81" s="285"/>
      <c r="FJ81" s="285"/>
      <c r="FK81" s="285"/>
      <c r="FL81" s="285"/>
      <c r="FM81" s="285"/>
      <c r="FN81" s="285"/>
      <c r="FO81" s="285"/>
      <c r="FP81" s="285"/>
      <c r="FQ81" s="285"/>
      <c r="FR81" s="285"/>
      <c r="FS81" s="285"/>
      <c r="FT81" s="285"/>
      <c r="FU81" s="285"/>
      <c r="FV81" s="285"/>
      <c r="FW81" s="285"/>
      <c r="FX81" s="285"/>
      <c r="FY81" s="285"/>
      <c r="FZ81" s="285"/>
      <c r="GA81" s="285"/>
      <c r="GB81" s="285"/>
      <c r="GC81" s="285"/>
      <c r="GD81" s="285"/>
      <c r="GE81" s="285"/>
      <c r="GF81" s="285"/>
      <c r="GG81" s="285"/>
      <c r="GH81" s="285"/>
      <c r="GI81" s="285"/>
      <c r="GJ81" s="285"/>
      <c r="GK81" s="285"/>
      <c r="GL81" s="285"/>
      <c r="GM81" s="285"/>
      <c r="GN81" s="285"/>
      <c r="GO81" s="285"/>
      <c r="GP81" s="285"/>
      <c r="GQ81" s="285"/>
      <c r="GR81" s="285"/>
      <c r="GS81" s="285"/>
      <c r="GT81" s="285"/>
      <c r="GU81" s="285"/>
      <c r="GV81" s="285"/>
      <c r="GW81" s="285"/>
      <c r="GX81" s="285"/>
      <c r="GY81" s="285"/>
      <c r="GZ81" s="285"/>
      <c r="HA81" s="285"/>
      <c r="HB81" s="285"/>
      <c r="HC81" s="285"/>
      <c r="HD81" s="285"/>
      <c r="HE81" s="285"/>
      <c r="HF81" s="285"/>
      <c r="HG81" s="285"/>
      <c r="HH81" s="285"/>
      <c r="HI81" s="285"/>
      <c r="HJ81" s="285"/>
      <c r="HK81" s="285"/>
      <c r="HL81" s="285"/>
      <c r="HM81" s="285"/>
      <c r="HN81" s="285"/>
      <c r="HO81" s="285"/>
      <c r="HP81" s="285"/>
      <c r="HQ81" s="285"/>
      <c r="HR81" s="285"/>
      <c r="HS81" s="285"/>
      <c r="HT81" s="285"/>
      <c r="HU81" s="285"/>
      <c r="HV81" s="285"/>
      <c r="HW81" s="285"/>
      <c r="HX81" s="285"/>
      <c r="HY81" s="285"/>
      <c r="HZ81" s="285"/>
      <c r="IA81" s="285"/>
      <c r="IB81" s="285"/>
      <c r="IC81" s="285"/>
      <c r="ID81" s="285"/>
      <c r="IE81" s="285"/>
      <c r="IF81" s="285"/>
      <c r="IG81" s="285"/>
      <c r="IH81" s="285"/>
      <c r="II81" s="285"/>
      <c r="IJ81" s="285"/>
      <c r="IK81" s="285"/>
      <c r="IL81" s="285"/>
      <c r="IM81" s="285"/>
      <c r="IN81" s="285"/>
      <c r="IO81" s="285"/>
      <c r="IP81" s="285"/>
      <c r="IQ81" s="285"/>
      <c r="IR81" s="285"/>
      <c r="IS81" s="285"/>
      <c r="IT81" s="285"/>
      <c r="IU81" s="285"/>
      <c r="IV81" s="285"/>
      <c r="IW81" s="285"/>
      <c r="IX81" s="285"/>
      <c r="IY81" s="285"/>
      <c r="IZ81" s="285"/>
      <c r="JA81" s="285"/>
      <c r="JB81" s="285"/>
      <c r="JC81" s="285"/>
      <c r="JD81" s="285"/>
      <c r="JE81" s="285"/>
      <c r="JF81" s="285"/>
      <c r="JG81" s="285"/>
      <c r="JH81" s="285"/>
      <c r="JI81" s="285"/>
      <c r="JJ81" s="285"/>
      <c r="JK81" s="285"/>
      <c r="JL81" s="285"/>
      <c r="JM81" s="285"/>
      <c r="JN81" s="285"/>
      <c r="JO81" s="285"/>
      <c r="JP81" s="285"/>
      <c r="JQ81" s="285"/>
      <c r="JR81" s="285"/>
      <c r="JS81" s="285"/>
      <c r="JT81" s="285"/>
      <c r="JU81" s="285"/>
      <c r="JV81" s="285"/>
      <c r="JW81" s="285"/>
      <c r="JX81" s="285"/>
      <c r="JY81" s="285"/>
      <c r="JZ81" s="285"/>
      <c r="KA81" s="285"/>
      <c r="KB81" s="285"/>
      <c r="KC81" s="285"/>
      <c r="KD81" s="285"/>
      <c r="KE81" s="285"/>
      <c r="KF81" s="285"/>
      <c r="KG81" s="285"/>
      <c r="KH81" s="285"/>
      <c r="KI81" s="285"/>
      <c r="KJ81" s="285"/>
      <c r="KK81" s="285"/>
      <c r="KL81" s="285"/>
      <c r="KM81" s="285"/>
      <c r="KN81" s="285"/>
      <c r="KO81" s="285"/>
      <c r="KP81" s="285"/>
      <c r="KQ81" s="285"/>
      <c r="KR81" s="285"/>
      <c r="KS81" s="285"/>
      <c r="KT81" s="285"/>
      <c r="KU81" s="285"/>
      <c r="KV81" s="285"/>
      <c r="KW81" s="285"/>
      <c r="KX81" s="285"/>
      <c r="KY81" s="285"/>
      <c r="KZ81" s="285"/>
      <c r="LA81" s="285"/>
      <c r="LB81" s="285"/>
      <c r="LC81" s="285"/>
      <c r="LD81" s="285"/>
      <c r="LE81" s="285"/>
      <c r="LF81" s="285"/>
      <c r="LG81" s="285"/>
      <c r="LH81" s="285"/>
      <c r="LI81" s="285"/>
      <c r="LJ81" s="285"/>
      <c r="LK81" s="285"/>
      <c r="LL81" s="285"/>
      <c r="LM81" s="285"/>
      <c r="LN81" s="285"/>
      <c r="LO81" s="285"/>
      <c r="LP81" s="285"/>
      <c r="LQ81" s="285"/>
      <c r="LR81" s="285"/>
      <c r="LS81" s="285"/>
      <c r="LT81" s="285"/>
      <c r="LU81" s="285"/>
      <c r="LV81" s="285"/>
      <c r="LW81" s="285"/>
      <c r="LX81" s="285"/>
      <c r="LY81" s="285"/>
      <c r="LZ81" s="285"/>
      <c r="MA81" s="285"/>
      <c r="MB81" s="285"/>
      <c r="MC81" s="285"/>
      <c r="MD81" s="285"/>
      <c r="ME81" s="285"/>
      <c r="MF81" s="285"/>
      <c r="MG81" s="285"/>
      <c r="MH81" s="285"/>
      <c r="MI81" s="285"/>
      <c r="MJ81" s="285"/>
      <c r="MK81" s="285"/>
      <c r="ML81" s="285"/>
      <c r="MM81" s="285"/>
      <c r="MN81" s="285"/>
      <c r="MO81" s="285"/>
      <c r="MP81" s="285"/>
      <c r="MQ81" s="285"/>
      <c r="MR81" s="285"/>
      <c r="MS81" s="285"/>
      <c r="MT81" s="285"/>
      <c r="MU81" s="285"/>
      <c r="MV81" s="285"/>
      <c r="MW81" s="285"/>
      <c r="MX81" s="285"/>
      <c r="MY81" s="285"/>
      <c r="MZ81" s="285"/>
      <c r="NA81" s="285"/>
      <c r="NB81" s="285"/>
      <c r="NC81" s="285"/>
      <c r="ND81" s="285"/>
      <c r="NE81" s="285"/>
      <c r="NF81" s="285"/>
      <c r="NG81" s="285"/>
      <c r="NH81" s="285"/>
      <c r="NI81" s="285"/>
      <c r="NJ81" s="285"/>
      <c r="NK81" s="285"/>
      <c r="NL81" s="285"/>
      <c r="NM81" s="285"/>
      <c r="NN81" s="285"/>
      <c r="NO81" s="285"/>
      <c r="NP81" s="285"/>
      <c r="NQ81" s="285"/>
      <c r="NR81" s="285"/>
      <c r="NS81" s="285"/>
      <c r="NT81" s="285"/>
      <c r="NU81" s="285"/>
      <c r="NV81" s="285"/>
      <c r="NW81" s="285"/>
      <c r="NX81" s="285"/>
      <c r="NY81" s="285"/>
      <c r="NZ81" s="285"/>
      <c r="OA81" s="285"/>
      <c r="OB81" s="285"/>
      <c r="OC81" s="285"/>
      <c r="OD81" s="285"/>
      <c r="OE81" s="285"/>
      <c r="OF81" s="285"/>
      <c r="OG81" s="285"/>
      <c r="OH81" s="285"/>
      <c r="OI81" s="285"/>
      <c r="OJ81" s="285"/>
      <c r="OK81" s="285"/>
      <c r="OL81" s="285"/>
      <c r="OM81" s="285"/>
      <c r="ON81" s="285"/>
      <c r="OO81" s="285"/>
      <c r="OP81" s="285"/>
      <c r="OQ81" s="285"/>
      <c r="OR81" s="285"/>
      <c r="OS81" s="285"/>
      <c r="OT81" s="285"/>
      <c r="OU81" s="285"/>
      <c r="OV81" s="285"/>
      <c r="OW81" s="285"/>
      <c r="OX81" s="285"/>
      <c r="OY81" s="285"/>
      <c r="OZ81" s="285"/>
      <c r="PA81" s="285"/>
      <c r="PB81" s="285"/>
      <c r="PC81" s="285"/>
      <c r="PD81" s="285"/>
      <c r="PE81" s="285"/>
      <c r="PF81" s="285"/>
      <c r="PG81" s="285"/>
      <c r="PH81" s="285"/>
      <c r="PI81" s="285"/>
      <c r="PJ81" s="285"/>
      <c r="PK81" s="285"/>
      <c r="PL81" s="285"/>
      <c r="PM81" s="285"/>
      <c r="PN81" s="285"/>
      <c r="PO81" s="285"/>
      <c r="PP81" s="285"/>
      <c r="PQ81" s="285"/>
      <c r="PR81" s="285"/>
      <c r="PS81" s="285"/>
      <c r="PT81" s="285"/>
      <c r="PU81" s="285"/>
      <c r="PV81" s="285"/>
      <c r="PW81" s="285"/>
      <c r="PX81" s="285"/>
      <c r="PY81" s="285"/>
      <c r="PZ81" s="285"/>
      <c r="QA81" s="285"/>
      <c r="QB81" s="285"/>
      <c r="QC81" s="285"/>
      <c r="QD81" s="285"/>
      <c r="QE81" s="285"/>
      <c r="QF81" s="285"/>
      <c r="QG81" s="285"/>
      <c r="QH81" s="285"/>
      <c r="QI81" s="285"/>
      <c r="QJ81" s="285"/>
      <c r="QK81" s="285"/>
      <c r="QL81" s="285"/>
      <c r="QM81" s="285"/>
      <c r="QN81" s="285"/>
      <c r="QO81" s="285"/>
      <c r="QP81" s="285"/>
      <c r="QQ81" s="285"/>
    </row>
    <row r="82" spans="1:459" s="117" customFormat="1" x14ac:dyDescent="0.2">
      <c r="A82" s="4"/>
      <c r="B82" s="247"/>
      <c r="C82" s="247"/>
      <c r="D82" s="247"/>
      <c r="E82" s="247"/>
      <c r="F82" s="247"/>
      <c r="G82" s="247"/>
      <c r="H82" s="247"/>
      <c r="I82" s="247"/>
      <c r="J82" s="247"/>
      <c r="K82" s="247"/>
      <c r="L82" s="247"/>
      <c r="M82" s="247"/>
      <c r="N82" s="247"/>
      <c r="O82" s="247"/>
      <c r="Q82" s="285"/>
      <c r="R82" s="285"/>
      <c r="S82" s="285"/>
      <c r="T82" s="285"/>
      <c r="U82" s="285"/>
      <c r="V82" s="285"/>
      <c r="W82" s="285"/>
      <c r="X82" s="285"/>
      <c r="Y82" s="285"/>
      <c r="Z82" s="285"/>
      <c r="AA82" s="285"/>
      <c r="AB82" s="285"/>
      <c r="AC82" s="285"/>
      <c r="AD82" s="285"/>
      <c r="AE82" s="285"/>
      <c r="AF82" s="285"/>
      <c r="AG82" s="285"/>
      <c r="AH82" s="285"/>
      <c r="AI82" s="285"/>
      <c r="AJ82" s="285"/>
      <c r="AK82" s="285"/>
      <c r="AL82" s="285"/>
      <c r="AM82" s="285"/>
      <c r="AN82" s="285"/>
      <c r="AO82" s="285"/>
      <c r="AP82" s="285"/>
      <c r="AQ82" s="285"/>
      <c r="AR82" s="285"/>
      <c r="AS82" s="285"/>
      <c r="AT82" s="285"/>
      <c r="AU82" s="285"/>
      <c r="AV82" s="285"/>
      <c r="AW82" s="285"/>
      <c r="AX82" s="285"/>
      <c r="AY82" s="285"/>
      <c r="AZ82" s="285"/>
      <c r="BA82" s="285"/>
      <c r="BB82" s="285"/>
      <c r="BC82" s="285"/>
      <c r="BD82" s="285"/>
      <c r="BE82" s="285"/>
      <c r="BF82" s="285"/>
      <c r="BG82" s="285"/>
      <c r="BH82" s="285"/>
      <c r="BI82" s="285"/>
      <c r="BJ82" s="285"/>
      <c r="BK82" s="285"/>
      <c r="BL82" s="285"/>
      <c r="BM82" s="285"/>
      <c r="BN82" s="285"/>
      <c r="BO82" s="285"/>
      <c r="BP82" s="285"/>
      <c r="BQ82" s="285"/>
      <c r="BR82" s="285"/>
      <c r="BS82" s="285"/>
      <c r="BT82" s="285"/>
      <c r="BU82" s="285"/>
      <c r="BV82" s="285"/>
      <c r="BW82" s="285"/>
      <c r="BX82" s="285"/>
      <c r="BY82" s="285"/>
      <c r="BZ82" s="285"/>
      <c r="CA82" s="285"/>
      <c r="CB82" s="285"/>
      <c r="CC82" s="285"/>
      <c r="CD82" s="285"/>
      <c r="CE82" s="285"/>
      <c r="CF82" s="285"/>
      <c r="CG82" s="285"/>
      <c r="CH82" s="285"/>
      <c r="CI82" s="285"/>
      <c r="CJ82" s="285"/>
      <c r="CK82" s="285"/>
      <c r="CL82" s="285"/>
      <c r="CM82" s="285"/>
      <c r="CN82" s="285"/>
      <c r="CO82" s="285"/>
      <c r="CP82" s="285"/>
      <c r="CQ82" s="285"/>
      <c r="CR82" s="285"/>
      <c r="CS82" s="285"/>
      <c r="CT82" s="285"/>
      <c r="CU82" s="285"/>
      <c r="CV82" s="285"/>
      <c r="CW82" s="285"/>
      <c r="CX82" s="285"/>
      <c r="CY82" s="285"/>
      <c r="CZ82" s="285"/>
      <c r="DA82" s="285"/>
      <c r="DB82" s="285"/>
      <c r="DC82" s="285"/>
      <c r="DD82" s="285"/>
      <c r="DE82" s="285"/>
      <c r="DF82" s="285"/>
      <c r="DG82" s="285"/>
      <c r="DH82" s="285"/>
      <c r="DI82" s="285"/>
      <c r="DJ82" s="285"/>
      <c r="DK82" s="285"/>
      <c r="DL82" s="285"/>
      <c r="DM82" s="285"/>
      <c r="DN82" s="285"/>
      <c r="DO82" s="285"/>
      <c r="DP82" s="285"/>
      <c r="DQ82" s="285"/>
      <c r="DR82" s="285"/>
      <c r="DS82" s="285"/>
      <c r="DT82" s="285"/>
      <c r="DU82" s="285"/>
      <c r="DV82" s="285"/>
      <c r="DW82" s="285"/>
      <c r="DX82" s="285"/>
      <c r="DY82" s="285"/>
      <c r="DZ82" s="285"/>
      <c r="EA82" s="285"/>
      <c r="EB82" s="285"/>
      <c r="EC82" s="285"/>
      <c r="ED82" s="285"/>
      <c r="EE82" s="285"/>
      <c r="EF82" s="285"/>
      <c r="EG82" s="285"/>
      <c r="EH82" s="285"/>
      <c r="EI82" s="285"/>
      <c r="EJ82" s="285"/>
      <c r="EK82" s="285"/>
      <c r="EL82" s="285"/>
      <c r="EM82" s="285"/>
      <c r="EN82" s="285"/>
      <c r="EO82" s="285"/>
      <c r="EP82" s="285"/>
      <c r="EQ82" s="285"/>
      <c r="ER82" s="285"/>
      <c r="ES82" s="285"/>
      <c r="ET82" s="285"/>
      <c r="EU82" s="285"/>
      <c r="EV82" s="285"/>
      <c r="EW82" s="285"/>
      <c r="EX82" s="285"/>
      <c r="EY82" s="285"/>
      <c r="EZ82" s="285"/>
      <c r="FA82" s="285"/>
      <c r="FB82" s="285"/>
      <c r="FC82" s="285"/>
      <c r="FD82" s="285"/>
      <c r="FE82" s="285"/>
      <c r="FF82" s="285"/>
      <c r="FG82" s="285"/>
      <c r="FH82" s="285"/>
      <c r="FI82" s="285"/>
      <c r="FJ82" s="285"/>
      <c r="FK82" s="285"/>
      <c r="FL82" s="285"/>
      <c r="FM82" s="285"/>
      <c r="FN82" s="285"/>
      <c r="FO82" s="285"/>
      <c r="FP82" s="285"/>
      <c r="FQ82" s="285"/>
      <c r="FR82" s="285"/>
      <c r="FS82" s="285"/>
      <c r="FT82" s="285"/>
      <c r="FU82" s="285"/>
      <c r="FV82" s="285"/>
      <c r="FW82" s="285"/>
      <c r="FX82" s="285"/>
      <c r="FY82" s="285"/>
      <c r="FZ82" s="285"/>
      <c r="GA82" s="285"/>
      <c r="GB82" s="285"/>
      <c r="GC82" s="285"/>
      <c r="GD82" s="285"/>
      <c r="GE82" s="285"/>
      <c r="GF82" s="285"/>
      <c r="GG82" s="285"/>
      <c r="GH82" s="285"/>
      <c r="GI82" s="285"/>
      <c r="GJ82" s="285"/>
      <c r="GK82" s="285"/>
      <c r="GL82" s="285"/>
      <c r="GM82" s="285"/>
      <c r="GN82" s="285"/>
      <c r="GO82" s="285"/>
      <c r="GP82" s="285"/>
      <c r="GQ82" s="285"/>
      <c r="GR82" s="285"/>
      <c r="GS82" s="285"/>
      <c r="GT82" s="285"/>
      <c r="GU82" s="285"/>
      <c r="GV82" s="285"/>
      <c r="GW82" s="285"/>
      <c r="GX82" s="285"/>
      <c r="GY82" s="285"/>
      <c r="GZ82" s="285"/>
      <c r="HA82" s="285"/>
      <c r="HB82" s="285"/>
      <c r="HC82" s="285"/>
      <c r="HD82" s="285"/>
      <c r="HE82" s="285"/>
      <c r="HF82" s="285"/>
      <c r="HG82" s="285"/>
      <c r="HH82" s="285"/>
      <c r="HI82" s="285"/>
      <c r="HJ82" s="285"/>
      <c r="HK82" s="285"/>
      <c r="HL82" s="285"/>
      <c r="HM82" s="285"/>
      <c r="HN82" s="285"/>
      <c r="HO82" s="285"/>
      <c r="HP82" s="285"/>
      <c r="HQ82" s="285"/>
      <c r="HR82" s="285"/>
      <c r="HS82" s="285"/>
      <c r="HT82" s="285"/>
      <c r="HU82" s="285"/>
      <c r="HV82" s="285"/>
      <c r="HW82" s="285"/>
      <c r="HX82" s="285"/>
      <c r="HY82" s="285"/>
      <c r="HZ82" s="285"/>
      <c r="IA82" s="285"/>
      <c r="IB82" s="285"/>
      <c r="IC82" s="285"/>
      <c r="ID82" s="285"/>
      <c r="IE82" s="285"/>
      <c r="IF82" s="285"/>
      <c r="IG82" s="285"/>
      <c r="IH82" s="285"/>
      <c r="II82" s="285"/>
      <c r="IJ82" s="285"/>
      <c r="IK82" s="285"/>
      <c r="IL82" s="285"/>
      <c r="IM82" s="285"/>
      <c r="IN82" s="285"/>
      <c r="IO82" s="285"/>
      <c r="IP82" s="285"/>
      <c r="IQ82" s="285"/>
      <c r="IR82" s="285"/>
      <c r="IS82" s="285"/>
      <c r="IT82" s="285"/>
      <c r="IU82" s="285"/>
      <c r="IV82" s="285"/>
      <c r="IW82" s="285"/>
      <c r="IX82" s="285"/>
      <c r="IY82" s="285"/>
      <c r="IZ82" s="285"/>
      <c r="JA82" s="285"/>
      <c r="JB82" s="285"/>
      <c r="JC82" s="285"/>
      <c r="JD82" s="285"/>
      <c r="JE82" s="285"/>
      <c r="JF82" s="285"/>
      <c r="JG82" s="285"/>
      <c r="JH82" s="285"/>
      <c r="JI82" s="285"/>
      <c r="JJ82" s="285"/>
      <c r="JK82" s="285"/>
      <c r="JL82" s="285"/>
      <c r="JM82" s="285"/>
      <c r="JN82" s="285"/>
      <c r="JO82" s="285"/>
      <c r="JP82" s="285"/>
      <c r="JQ82" s="285"/>
      <c r="JR82" s="285"/>
      <c r="JS82" s="285"/>
      <c r="JT82" s="285"/>
      <c r="JU82" s="285"/>
      <c r="JV82" s="285"/>
      <c r="JW82" s="285"/>
      <c r="JX82" s="285"/>
      <c r="JY82" s="285"/>
      <c r="JZ82" s="285"/>
      <c r="KA82" s="285"/>
      <c r="KB82" s="285"/>
      <c r="KC82" s="285"/>
      <c r="KD82" s="285"/>
      <c r="KE82" s="285"/>
      <c r="KF82" s="285"/>
      <c r="KG82" s="285"/>
      <c r="KH82" s="285"/>
      <c r="KI82" s="285"/>
      <c r="KJ82" s="285"/>
      <c r="KK82" s="285"/>
      <c r="KL82" s="285"/>
      <c r="KM82" s="285"/>
      <c r="KN82" s="285"/>
      <c r="KO82" s="285"/>
      <c r="KP82" s="285"/>
      <c r="KQ82" s="285"/>
      <c r="KR82" s="285"/>
      <c r="KS82" s="285"/>
      <c r="KT82" s="285"/>
      <c r="KU82" s="285"/>
      <c r="KV82" s="285"/>
      <c r="KW82" s="285"/>
      <c r="KX82" s="285"/>
      <c r="KY82" s="285"/>
      <c r="KZ82" s="285"/>
      <c r="LA82" s="285"/>
      <c r="LB82" s="285"/>
      <c r="LC82" s="285"/>
      <c r="LD82" s="285"/>
      <c r="LE82" s="285"/>
      <c r="LF82" s="285"/>
      <c r="LG82" s="285"/>
      <c r="LH82" s="285"/>
      <c r="LI82" s="285"/>
      <c r="LJ82" s="285"/>
      <c r="LK82" s="285"/>
      <c r="LL82" s="285"/>
      <c r="LM82" s="285"/>
      <c r="LN82" s="285"/>
      <c r="LO82" s="285"/>
      <c r="LP82" s="285"/>
      <c r="LQ82" s="285"/>
      <c r="LR82" s="285"/>
      <c r="LS82" s="285"/>
      <c r="LT82" s="285"/>
      <c r="LU82" s="285"/>
      <c r="LV82" s="285"/>
      <c r="LW82" s="285"/>
      <c r="LX82" s="285"/>
      <c r="LY82" s="285"/>
      <c r="LZ82" s="285"/>
      <c r="MA82" s="285"/>
      <c r="MB82" s="285"/>
      <c r="MC82" s="285"/>
      <c r="MD82" s="285"/>
      <c r="ME82" s="285"/>
      <c r="MF82" s="285"/>
      <c r="MG82" s="285"/>
      <c r="MH82" s="285"/>
      <c r="MI82" s="285"/>
      <c r="MJ82" s="285"/>
      <c r="MK82" s="285"/>
      <c r="ML82" s="285"/>
      <c r="MM82" s="285"/>
      <c r="MN82" s="285"/>
      <c r="MO82" s="285"/>
      <c r="MP82" s="285"/>
      <c r="MQ82" s="285"/>
      <c r="MR82" s="285"/>
      <c r="MS82" s="285"/>
      <c r="MT82" s="285"/>
      <c r="MU82" s="285"/>
      <c r="MV82" s="285"/>
      <c r="MW82" s="285"/>
      <c r="MX82" s="285"/>
      <c r="MY82" s="285"/>
      <c r="MZ82" s="285"/>
      <c r="NA82" s="285"/>
      <c r="NB82" s="285"/>
      <c r="NC82" s="285"/>
      <c r="ND82" s="285"/>
      <c r="NE82" s="285"/>
      <c r="NF82" s="285"/>
      <c r="NG82" s="285"/>
      <c r="NH82" s="285"/>
      <c r="NI82" s="285"/>
      <c r="NJ82" s="285"/>
      <c r="NK82" s="285"/>
      <c r="NL82" s="285"/>
      <c r="NM82" s="285"/>
      <c r="NN82" s="285"/>
      <c r="NO82" s="285"/>
      <c r="NP82" s="285"/>
      <c r="NQ82" s="285"/>
      <c r="NR82" s="285"/>
      <c r="NS82" s="285"/>
      <c r="NT82" s="285"/>
      <c r="NU82" s="285"/>
      <c r="NV82" s="285"/>
      <c r="NW82" s="285"/>
      <c r="NX82" s="285"/>
      <c r="NY82" s="285"/>
      <c r="NZ82" s="285"/>
      <c r="OA82" s="285"/>
      <c r="OB82" s="285"/>
      <c r="OC82" s="285"/>
      <c r="OD82" s="285"/>
      <c r="OE82" s="285"/>
      <c r="OF82" s="285"/>
      <c r="OG82" s="285"/>
      <c r="OH82" s="285"/>
      <c r="OI82" s="285"/>
      <c r="OJ82" s="285"/>
      <c r="OK82" s="285"/>
      <c r="OL82" s="285"/>
      <c r="OM82" s="285"/>
      <c r="ON82" s="285"/>
      <c r="OO82" s="285"/>
      <c r="OP82" s="285"/>
      <c r="OQ82" s="285"/>
      <c r="OR82" s="285"/>
      <c r="OS82" s="285"/>
      <c r="OT82" s="285"/>
      <c r="OU82" s="285"/>
      <c r="OV82" s="285"/>
      <c r="OW82" s="285"/>
      <c r="OX82" s="285"/>
      <c r="OY82" s="285"/>
      <c r="OZ82" s="285"/>
      <c r="PA82" s="285"/>
      <c r="PB82" s="285"/>
      <c r="PC82" s="285"/>
      <c r="PD82" s="285"/>
      <c r="PE82" s="285"/>
      <c r="PF82" s="285"/>
      <c r="PG82" s="285"/>
      <c r="PH82" s="285"/>
      <c r="PI82" s="285"/>
      <c r="PJ82" s="285"/>
      <c r="PK82" s="285"/>
      <c r="PL82" s="285"/>
      <c r="PM82" s="285"/>
      <c r="PN82" s="285"/>
      <c r="PO82" s="285"/>
      <c r="PP82" s="285"/>
      <c r="PQ82" s="285"/>
      <c r="PR82" s="285"/>
      <c r="PS82" s="285"/>
      <c r="PT82" s="285"/>
      <c r="PU82" s="285"/>
      <c r="PV82" s="285"/>
      <c r="PW82" s="285"/>
      <c r="PX82" s="285"/>
      <c r="PY82" s="285"/>
      <c r="PZ82" s="285"/>
      <c r="QA82" s="285"/>
      <c r="QB82" s="285"/>
      <c r="QC82" s="285"/>
      <c r="QD82" s="285"/>
      <c r="QE82" s="285"/>
      <c r="QF82" s="285"/>
      <c r="QG82" s="285"/>
      <c r="QH82" s="285"/>
      <c r="QI82" s="285"/>
      <c r="QJ82" s="285"/>
      <c r="QK82" s="285"/>
      <c r="QL82" s="285"/>
      <c r="QM82" s="285"/>
      <c r="QN82" s="285"/>
      <c r="QO82" s="285"/>
      <c r="QP82" s="285"/>
      <c r="QQ82" s="285"/>
    </row>
    <row r="83" spans="1:459" s="117" customFormat="1" x14ac:dyDescent="0.2">
      <c r="A83" s="4"/>
      <c r="B83" s="247"/>
      <c r="C83" s="247"/>
      <c r="D83" s="247"/>
      <c r="E83" s="247"/>
      <c r="F83" s="247"/>
      <c r="G83" s="247"/>
      <c r="H83" s="247"/>
      <c r="I83" s="247"/>
      <c r="J83" s="247"/>
      <c r="K83" s="247"/>
      <c r="L83" s="247"/>
      <c r="M83" s="247"/>
      <c r="N83" s="247"/>
      <c r="O83" s="247"/>
    </row>
    <row r="84" spans="1:459" s="117" customFormat="1" x14ac:dyDescent="0.2">
      <c r="A84" s="4"/>
      <c r="B84" s="247"/>
      <c r="C84" s="247"/>
      <c r="D84" s="247"/>
      <c r="E84" s="247"/>
      <c r="F84" s="247"/>
      <c r="G84" s="247"/>
      <c r="H84" s="247"/>
      <c r="I84" s="247"/>
      <c r="J84" s="247"/>
      <c r="K84" s="247"/>
      <c r="L84" s="247"/>
      <c r="M84" s="247"/>
      <c r="N84" s="247"/>
      <c r="O84" s="247"/>
    </row>
    <row r="85" spans="1:459" s="117" customFormat="1" x14ac:dyDescent="0.2">
      <c r="A85" s="4"/>
      <c r="B85" s="89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</row>
    <row r="86" spans="1:459" s="117" customFormat="1" x14ac:dyDescent="0.2">
      <c r="A86" s="4"/>
      <c r="B86" s="89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</row>
    <row r="87" spans="1:459" s="117" customFormat="1" ht="16.5" x14ac:dyDescent="0.25">
      <c r="A87" s="4"/>
      <c r="B87" s="14"/>
      <c r="C87" s="12" t="s">
        <v>2</v>
      </c>
      <c r="D87" s="259"/>
      <c r="E87" s="259"/>
      <c r="F87" s="259"/>
      <c r="G87" s="259"/>
      <c r="H87" s="259"/>
      <c r="I87" s="259"/>
      <c r="J87" s="260" t="s">
        <v>3</v>
      </c>
      <c r="K87" s="261"/>
      <c r="L87" s="261"/>
      <c r="M87" s="261"/>
      <c r="N87" s="261"/>
      <c r="O87" s="261"/>
    </row>
    <row r="88" spans="1:459" s="117" customFormat="1" ht="15" customHeight="1" x14ac:dyDescent="0.2">
      <c r="A88" s="4"/>
      <c r="B88" s="9"/>
      <c r="C88" s="98"/>
      <c r="D88" s="262" t="s">
        <v>4</v>
      </c>
      <c r="E88" s="262"/>
      <c r="F88" s="262"/>
      <c r="G88" s="262"/>
      <c r="H88" s="262"/>
      <c r="I88" s="262"/>
      <c r="J88" s="260"/>
      <c r="K88" s="262" t="s">
        <v>5</v>
      </c>
      <c r="L88" s="262"/>
      <c r="M88" s="262"/>
      <c r="N88" s="262"/>
      <c r="O88" s="262"/>
    </row>
  </sheetData>
  <sheetProtection sheet="1" objects="1" scenarios="1" selectLockedCells="1"/>
  <dataConsolidate/>
  <mergeCells count="65">
    <mergeCell ref="D87:I87"/>
    <mergeCell ref="J87:J88"/>
    <mergeCell ref="K87:O87"/>
    <mergeCell ref="D88:I88"/>
    <mergeCell ref="K88:O88"/>
    <mergeCell ref="J49:O49"/>
    <mergeCell ref="J50:O50"/>
    <mergeCell ref="J51:O53"/>
    <mergeCell ref="J54:O56"/>
    <mergeCell ref="B72:O84"/>
    <mergeCell ref="B63:G69"/>
    <mergeCell ref="B49:G49"/>
    <mergeCell ref="B50:G50"/>
    <mergeCell ref="B51:G51"/>
    <mergeCell ref="B52:G52"/>
    <mergeCell ref="B53:G53"/>
    <mergeCell ref="B54:F54"/>
    <mergeCell ref="B44:C44"/>
    <mergeCell ref="D44:E44"/>
    <mergeCell ref="F44:I44"/>
    <mergeCell ref="J44:K44"/>
    <mergeCell ref="D36:E36"/>
    <mergeCell ref="G36:I36"/>
    <mergeCell ref="J36:K36"/>
    <mergeCell ref="D38:E38"/>
    <mergeCell ref="G38:I38"/>
    <mergeCell ref="J38:K38"/>
    <mergeCell ref="L40:M40"/>
    <mergeCell ref="B42:C42"/>
    <mergeCell ref="D42:E42"/>
    <mergeCell ref="F42:I42"/>
    <mergeCell ref="J42:K42"/>
    <mergeCell ref="B40:C40"/>
    <mergeCell ref="D40:E40"/>
    <mergeCell ref="F40:I40"/>
    <mergeCell ref="J40:K40"/>
    <mergeCell ref="D34:E34"/>
    <mergeCell ref="G34:I34"/>
    <mergeCell ref="J34:K34"/>
    <mergeCell ref="C27:F27"/>
    <mergeCell ref="M27:O27"/>
    <mergeCell ref="C29:F29"/>
    <mergeCell ref="M29:O29"/>
    <mergeCell ref="D33:E33"/>
    <mergeCell ref="G33:I33"/>
    <mergeCell ref="J33:K33"/>
    <mergeCell ref="C23:F23"/>
    <mergeCell ref="K23:L23"/>
    <mergeCell ref="M23:O23"/>
    <mergeCell ref="C25:F25"/>
    <mergeCell ref="M25:O25"/>
    <mergeCell ref="N4:O5"/>
    <mergeCell ref="M4:M5"/>
    <mergeCell ref="O7:O8"/>
    <mergeCell ref="N7:N8"/>
    <mergeCell ref="D18:F18"/>
    <mergeCell ref="D14:F14"/>
    <mergeCell ref="B16:C16"/>
    <mergeCell ref="D16:L16"/>
    <mergeCell ref="B14:C14"/>
    <mergeCell ref="F1:K3"/>
    <mergeCell ref="E5:L6"/>
    <mergeCell ref="B6:C8"/>
    <mergeCell ref="B12:C12"/>
    <mergeCell ref="D12:L12"/>
  </mergeCells>
  <conditionalFormatting sqref="B88">
    <cfRule type="expression" dxfId="0" priority="1" stopIfTrue="1">
      <formula>LEN(TRIM(B88))&gt;0</formula>
    </cfRule>
  </conditionalFormatting>
  <dataValidations xWindow="1410" yWindow="392" count="13">
    <dataValidation type="list" allowBlank="1" showInputMessage="1" showErrorMessage="1" error="Выберите из выпадающего списка" prompt="Выберите из списка" sqref="D14">
      <formula1>ОПФ_ЮЛ</formula1>
    </dataValidation>
    <dataValidation type="list" allowBlank="1" showInputMessage="1" showErrorMessage="1" error="Выберите из выпадающего списка" prompt="Выберите из списка" sqref="D18">
      <formula1>Имущество</formula1>
    </dataValidation>
    <dataValidation type="decimal" allowBlank="1" showInputMessage="1" showErrorMessage="1" errorTitle="Некорректная величина аванса" error="Укажите число от 5 до 49" sqref="L18">
      <formula1>5</formula1>
      <formula2>49</formula2>
    </dataValidation>
    <dataValidation type="list" allowBlank="1" showInputMessage="1" showErrorMessage="1" sqref="O12">
      <formula1>Налогообложение</formula1>
    </dataValidation>
    <dataValidation type="list" allowBlank="1" showInputMessage="1" showErrorMessage="1" sqref="O14">
      <formula1>СуммаФинансирования</formula1>
    </dataValidation>
    <dataValidation type="whole" operator="greaterThan" allowBlank="1" showInputMessage="1" showErrorMessage="1" errorTitle="Некорректный срок лизинга" error="Укажите целое число, которое превышает 12" sqref="O18">
      <formula1>12</formula1>
    </dataValidation>
    <dataValidation operator="equal" allowBlank="1" promptTitle="Введите номер в формате" prompt="&quot;XXXXXXXXXXXX&quot;" sqref="L14 O16:O17"/>
    <dataValidation type="date" operator="greaterThan" allowBlank="1" showInputMessage="1" showErrorMessage="1" errorTitle="Дата окончания" error="Дата окончания должна быть позднее даты заключения договора" promptTitle="Дата окончания договора" prompt="Введите дату в формате &quot;ДД.ММ.ГГГГ&quot;" sqref="L34 L36 L38">
      <formula1>F34</formula1>
    </dataValidation>
    <dataValidation type="decimal" operator="greaterThan" allowBlank="1" showInputMessage="1" showErrorMessage="1" errorTitle="Среднемесячный платеж, руб." error="Введите положительное число" promptTitle="Среднемесячный платеж, руб." prompt="Введите положительное число" sqref="J34:K34 J36:K36 J38:K38">
      <formula1>0</formula1>
    </dataValidation>
    <dataValidation type="decimal" operator="greaterThanOrEqual" allowBlank="1" showInputMessage="1" showErrorMessage="1" errorTitle="Основной долг по договору, руб." error="Введите положительное число" promptTitle="Основной долг по договору, руб." prompt="Введите положительное число" sqref="G34:I34 G36:I36 G38:I38">
      <formula1>0</formula1>
    </dataValidation>
    <dataValidation type="date" operator="greaterThan" allowBlank="1" showInputMessage="1" showErrorMessage="1" errorTitle="Дата заключения" error="Введите дату в формате &quot;ДД.ММ.ГГГГ&quot;" promptTitle="Дата заключения договора" prompt="Введите дату в формате &quot;ДД.ММ.ГГГГ&quot;" sqref="F34 F36 F38">
      <formula1>32874</formula1>
    </dataValidation>
    <dataValidation type="list" allowBlank="1" showInputMessage="1" showErrorMessage="1" sqref="C34 C36 C38">
      <formula1>ПРОДУКТЫ1</formula1>
    </dataValidation>
    <dataValidation allowBlank="1" showInputMessage="1" showErrorMessage="1" prompt="Например, ООО &quot;Ромашка&quot;" sqref="C23 H23 C25 C27 C29"/>
  </dataValidations>
  <printOptions horizontalCentered="1"/>
  <pageMargins left="0.27559055118110237" right="0.23622047244094491" top="0.27559055118110237" bottom="0.23622047244094491" header="0.51181102362204722" footer="0.15748031496062992"/>
  <pageSetup paperSize="9" scale="40" fitToHeight="0" orientation="portrait" r:id="rId1"/>
  <headerFooter alignWithMargins="0"/>
  <ignoredErrors>
    <ignoredError sqref="D17 L17" unlocked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92D050"/>
  </sheetPr>
  <dimension ref="A1:CA55"/>
  <sheetViews>
    <sheetView windowProtection="1" topLeftCell="A28" zoomScaleNormal="100" workbookViewId="0">
      <selection activeCell="A35" sqref="A35:XFD51"/>
    </sheetView>
  </sheetViews>
  <sheetFormatPr defaultColWidth="83.140625" defaultRowHeight="12.75" x14ac:dyDescent="0.2"/>
  <cols>
    <col min="1" max="1" width="4.42578125" style="26" customWidth="1"/>
    <col min="2" max="2" width="40.42578125" style="26" customWidth="1"/>
    <col min="3" max="3" width="20.7109375" style="26" customWidth="1"/>
    <col min="4" max="4" width="4.7109375" style="26" customWidth="1"/>
    <col min="5" max="5" width="21.5703125" style="26" customWidth="1"/>
    <col min="6" max="6" width="17.85546875" style="26" customWidth="1"/>
    <col min="7" max="7" width="6.7109375" style="26" customWidth="1"/>
    <col min="8" max="8" width="5.7109375" style="26" customWidth="1"/>
    <col min="9" max="9" width="9.28515625" style="26" customWidth="1"/>
    <col min="10" max="10" width="4.5703125" style="26" customWidth="1"/>
    <col min="11" max="11" width="19.28515625" style="26" customWidth="1"/>
    <col min="12" max="12" width="20.7109375" style="26" customWidth="1"/>
    <col min="13" max="13" width="23" style="26" customWidth="1"/>
    <col min="14" max="14" width="21.140625" style="26" customWidth="1"/>
    <col min="15" max="15" width="22.85546875" style="26" customWidth="1"/>
    <col min="16" max="16" width="5.7109375" style="26" customWidth="1"/>
    <col min="17" max="42" width="83.140625" style="26" customWidth="1"/>
    <col min="43" max="46" width="20.140625" style="26" customWidth="1"/>
    <col min="47" max="57" width="83.140625" style="26"/>
    <col min="58" max="75" width="83.140625" style="26" customWidth="1"/>
    <col min="76" max="76" width="65.85546875" style="26" customWidth="1"/>
    <col min="77" max="79" width="83.140625" style="26" hidden="1" customWidth="1"/>
    <col min="80" max="16384" width="83.140625" style="26"/>
  </cols>
  <sheetData>
    <row r="1" spans="2:42" s="6" customFormat="1" ht="3.75" customHeight="1" x14ac:dyDescent="0.2">
      <c r="B1" s="2"/>
      <c r="C1" s="2"/>
      <c r="D1" s="2"/>
      <c r="E1" s="2"/>
      <c r="F1" s="2"/>
      <c r="G1" s="2"/>
      <c r="H1" s="2"/>
      <c r="I1" s="2"/>
      <c r="J1" s="3"/>
      <c r="K1" s="3"/>
      <c r="L1" s="3"/>
      <c r="M1" s="3"/>
      <c r="N1" s="13"/>
      <c r="O1" s="13"/>
    </row>
    <row r="2" spans="2:42" s="4" customFormat="1" ht="30" customHeight="1" x14ac:dyDescent="0.2">
      <c r="C2" s="93" t="s">
        <v>19</v>
      </c>
      <c r="H2" s="6" t="s">
        <v>18</v>
      </c>
      <c r="I2" s="33"/>
      <c r="L2" s="43"/>
      <c r="M2" s="43"/>
      <c r="N2" s="43"/>
      <c r="O2" s="43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</row>
    <row r="3" spans="2:42" s="4" customFormat="1" ht="30" customHeight="1" x14ac:dyDescent="0.2">
      <c r="C3" s="92" t="s">
        <v>21</v>
      </c>
      <c r="D3" s="240" t="s">
        <v>82</v>
      </c>
      <c r="E3" s="241"/>
      <c r="F3" s="242"/>
      <c r="G3" s="26"/>
      <c r="H3" s="26"/>
      <c r="I3" s="26"/>
      <c r="J3" s="26"/>
      <c r="K3" s="88" t="s">
        <v>48</v>
      </c>
      <c r="L3" s="190" t="s">
        <v>82</v>
      </c>
      <c r="M3" s="39"/>
      <c r="N3" s="88" t="s">
        <v>49</v>
      </c>
      <c r="O3" s="180" t="s">
        <v>82</v>
      </c>
      <c r="P3" s="107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</row>
    <row r="4" spans="2:42" s="6" customFormat="1" ht="3.75" customHeight="1" x14ac:dyDescent="0.2">
      <c r="B4" s="2"/>
      <c r="C4" s="2"/>
      <c r="D4" s="2"/>
      <c r="E4" s="2"/>
      <c r="F4" s="2"/>
      <c r="G4" s="2"/>
      <c r="H4" s="2"/>
      <c r="I4" s="2"/>
      <c r="J4" s="3"/>
      <c r="K4" s="3"/>
      <c r="L4" s="3"/>
      <c r="M4" s="3"/>
      <c r="N4" s="13"/>
      <c r="O4" s="13"/>
    </row>
    <row r="5" spans="2:42" s="6" customFormat="1" ht="11.25" customHeight="1" x14ac:dyDescent="0.2">
      <c r="B5" s="2"/>
      <c r="C5" s="2"/>
      <c r="D5" s="2"/>
      <c r="E5" s="2"/>
      <c r="F5" s="2"/>
      <c r="G5" s="2"/>
      <c r="H5" s="2"/>
      <c r="I5" s="2"/>
      <c r="J5" s="3"/>
      <c r="K5" s="3"/>
      <c r="L5" s="3"/>
      <c r="M5" s="3"/>
      <c r="N5" s="13"/>
      <c r="O5" s="13"/>
    </row>
    <row r="6" spans="2:42" s="6" customFormat="1" ht="15" customHeight="1" x14ac:dyDescent="0.2">
      <c r="B6" s="100"/>
      <c r="C6" s="100"/>
      <c r="D6" s="100"/>
      <c r="E6" s="100"/>
      <c r="F6" s="100"/>
      <c r="G6" s="100"/>
      <c r="H6" s="100"/>
      <c r="I6" s="100"/>
      <c r="J6" s="100"/>
      <c r="K6" s="100"/>
      <c r="L6" s="100"/>
      <c r="M6" s="100"/>
      <c r="N6" s="100"/>
      <c r="O6" s="100"/>
      <c r="P6" s="5"/>
    </row>
    <row r="7" spans="2:42" s="6" customFormat="1" ht="30" customHeight="1" x14ac:dyDescent="0.2">
      <c r="B7" s="100"/>
      <c r="C7" s="100"/>
      <c r="D7" s="100"/>
      <c r="E7" s="100"/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5"/>
    </row>
    <row r="8" spans="2:42" s="6" customFormat="1" ht="13.5" customHeight="1" x14ac:dyDescent="0.2">
      <c r="B8" s="100"/>
      <c r="C8" s="100"/>
      <c r="D8" s="100"/>
      <c r="E8" s="100"/>
      <c r="F8" s="100"/>
      <c r="G8" s="100"/>
      <c r="H8" s="100"/>
      <c r="I8" s="100"/>
      <c r="J8" s="100"/>
      <c r="K8" s="100"/>
      <c r="L8" s="100"/>
      <c r="M8" s="100"/>
      <c r="N8" s="100"/>
      <c r="O8" s="100"/>
      <c r="P8" s="5"/>
    </row>
    <row r="9" spans="2:42" s="6" customFormat="1" ht="18" customHeight="1" x14ac:dyDescent="0.2">
      <c r="B9" s="174" t="s">
        <v>15</v>
      </c>
      <c r="C9" s="224"/>
      <c r="D9" s="225"/>
      <c r="E9" s="225"/>
      <c r="F9" s="226"/>
      <c r="G9" s="99"/>
      <c r="H9" s="108"/>
      <c r="I9" s="108"/>
      <c r="J9" s="8"/>
      <c r="K9" s="222" t="s">
        <v>16</v>
      </c>
      <c r="L9" s="222"/>
      <c r="M9" s="243"/>
      <c r="N9" s="244"/>
      <c r="O9" s="245"/>
      <c r="P9" s="5"/>
    </row>
    <row r="10" spans="2:42" s="6" customFormat="1" ht="3.75" customHeight="1" x14ac:dyDescent="0.2">
      <c r="B10" s="2"/>
      <c r="C10" s="2"/>
      <c r="D10" s="2"/>
      <c r="E10" s="2"/>
      <c r="F10" s="2"/>
      <c r="G10" s="2"/>
      <c r="H10" s="2"/>
      <c r="I10" s="2"/>
      <c r="J10" s="3"/>
      <c r="K10" s="3"/>
      <c r="L10" s="3"/>
      <c r="M10" s="3"/>
      <c r="N10" s="13"/>
      <c r="O10" s="13"/>
    </row>
    <row r="11" spans="2:42" s="6" customFormat="1" ht="18" customHeight="1" x14ac:dyDescent="0.2">
      <c r="B11" s="7"/>
      <c r="C11" s="224"/>
      <c r="D11" s="225"/>
      <c r="E11" s="225"/>
      <c r="F11" s="226"/>
      <c r="G11" s="108"/>
      <c r="H11" s="108"/>
      <c r="I11" s="108"/>
      <c r="J11" s="18"/>
      <c r="K11" s="18"/>
      <c r="L11" s="18"/>
      <c r="M11" s="243"/>
      <c r="N11" s="244"/>
      <c r="O11" s="245"/>
      <c r="P11" s="5"/>
    </row>
    <row r="12" spans="2:42" s="6" customFormat="1" ht="3.75" customHeight="1" x14ac:dyDescent="0.2">
      <c r="B12" s="2"/>
      <c r="C12" s="2"/>
      <c r="D12" s="2"/>
      <c r="E12" s="2"/>
      <c r="F12" s="2"/>
      <c r="G12" s="2"/>
      <c r="H12" s="2"/>
      <c r="I12" s="2"/>
      <c r="J12" s="3"/>
      <c r="K12" s="3"/>
      <c r="L12" s="3"/>
      <c r="M12" s="3"/>
      <c r="N12" s="13"/>
      <c r="O12" s="13"/>
    </row>
    <row r="13" spans="2:42" s="6" customFormat="1" ht="18" customHeight="1" x14ac:dyDescent="0.2">
      <c r="B13" s="7"/>
      <c r="C13" s="224"/>
      <c r="D13" s="225"/>
      <c r="E13" s="225"/>
      <c r="F13" s="226"/>
      <c r="G13" s="109"/>
      <c r="H13" s="109"/>
      <c r="I13" s="109"/>
      <c r="J13" s="18"/>
      <c r="K13" s="18"/>
      <c r="L13" s="18"/>
      <c r="M13" s="243"/>
      <c r="N13" s="244"/>
      <c r="O13" s="245"/>
      <c r="P13" s="5"/>
    </row>
    <row r="14" spans="2:42" s="6" customFormat="1" ht="3.75" customHeight="1" x14ac:dyDescent="0.2">
      <c r="B14" s="2"/>
      <c r="C14" s="2"/>
      <c r="D14" s="2"/>
      <c r="E14" s="2"/>
      <c r="F14" s="2"/>
      <c r="G14" s="2"/>
      <c r="H14" s="2"/>
      <c r="I14" s="2"/>
      <c r="J14" s="3"/>
      <c r="K14" s="3"/>
      <c r="L14" s="3"/>
      <c r="M14" s="3"/>
      <c r="N14" s="13"/>
      <c r="O14" s="13"/>
    </row>
    <row r="15" spans="2:42" s="6" customFormat="1" ht="18" customHeight="1" x14ac:dyDescent="0.2">
      <c r="B15" s="7"/>
      <c r="C15" s="224"/>
      <c r="D15" s="225"/>
      <c r="E15" s="225"/>
      <c r="F15" s="226"/>
      <c r="G15" s="109"/>
      <c r="H15" s="109"/>
      <c r="I15" s="109"/>
      <c r="J15" s="18"/>
      <c r="K15" s="18"/>
      <c r="L15" s="18"/>
      <c r="M15" s="243"/>
      <c r="N15" s="244"/>
      <c r="O15" s="245"/>
      <c r="P15" s="5"/>
    </row>
    <row r="16" spans="2:42" s="6" customFormat="1" ht="13.5" customHeight="1" x14ac:dyDescent="0.2">
      <c r="B16" s="100"/>
      <c r="C16" s="100"/>
      <c r="D16" s="100"/>
      <c r="E16" s="100"/>
      <c r="F16" s="100"/>
      <c r="G16" s="100"/>
      <c r="H16" s="100"/>
      <c r="I16" s="100"/>
      <c r="J16" s="100"/>
      <c r="K16" s="100"/>
      <c r="L16" s="100"/>
      <c r="M16" s="100"/>
      <c r="N16" s="100"/>
      <c r="O16" s="100"/>
      <c r="P16" s="5"/>
    </row>
    <row r="17" spans="2:16" s="6" customFormat="1" ht="15" customHeight="1" x14ac:dyDescent="0.2">
      <c r="B17" s="100"/>
      <c r="C17" s="100"/>
      <c r="D17" s="100"/>
      <c r="E17" s="100"/>
      <c r="F17" s="100"/>
      <c r="G17" s="100"/>
      <c r="H17" s="100"/>
      <c r="I17" s="100"/>
      <c r="J17" s="100"/>
      <c r="K17" s="100"/>
      <c r="L17" s="100"/>
      <c r="M17" s="100"/>
      <c r="N17" s="100"/>
      <c r="O17" s="100"/>
      <c r="P17" s="5"/>
    </row>
    <row r="18" spans="2:16" s="6" customFormat="1" ht="30" customHeight="1" x14ac:dyDescent="0.2">
      <c r="P18" s="33"/>
    </row>
    <row r="19" spans="2:16" s="6" customFormat="1" ht="45" customHeight="1" x14ac:dyDescent="0.2">
      <c r="B19" s="175" t="s">
        <v>206</v>
      </c>
      <c r="C19" s="176" t="s">
        <v>0</v>
      </c>
      <c r="D19" s="263" t="s">
        <v>207</v>
      </c>
      <c r="E19" s="263"/>
      <c r="F19" s="176" t="s">
        <v>216</v>
      </c>
      <c r="G19" s="263" t="s">
        <v>47</v>
      </c>
      <c r="H19" s="263"/>
      <c r="I19" s="263"/>
      <c r="J19" s="264" t="s">
        <v>44</v>
      </c>
      <c r="K19" s="264"/>
      <c r="L19" s="176" t="s">
        <v>204</v>
      </c>
      <c r="M19" s="177" t="s">
        <v>45</v>
      </c>
      <c r="N19" s="177" t="s">
        <v>205</v>
      </c>
      <c r="O19" s="178" t="s">
        <v>55</v>
      </c>
      <c r="P19" s="33"/>
    </row>
    <row r="20" spans="2:16" s="24" customFormat="1" ht="18" customHeight="1" x14ac:dyDescent="0.2">
      <c r="B20" s="183"/>
      <c r="C20" s="181" t="s">
        <v>82</v>
      </c>
      <c r="D20" s="265"/>
      <c r="E20" s="265"/>
      <c r="F20" s="185"/>
      <c r="G20" s="266"/>
      <c r="H20" s="266"/>
      <c r="I20" s="266"/>
      <c r="J20" s="267"/>
      <c r="K20" s="268"/>
      <c r="L20" s="184"/>
      <c r="M20" s="186" t="str">
        <f>IF(OR(C20="Нет",C20="Выбрать")," ------------ ",J20*Support!M56)</f>
        <v xml:space="preserve"> ------------ </v>
      </c>
      <c r="N20" s="208" t="str">
        <f>IF(OR(C20="Нет",C20="Выбрать"),"------------",J20*Support!T56)</f>
        <v>------------</v>
      </c>
      <c r="O20" s="187"/>
      <c r="P20" s="25"/>
    </row>
    <row r="21" spans="2:16" s="6" customFormat="1" ht="3.75" customHeight="1" x14ac:dyDescent="0.2">
      <c r="B21" s="41"/>
      <c r="C21" s="41"/>
      <c r="D21" s="41"/>
      <c r="E21" s="41"/>
      <c r="F21" s="2"/>
      <c r="G21" s="114"/>
      <c r="H21" s="114"/>
      <c r="I21" s="114"/>
      <c r="J21" s="115"/>
      <c r="K21" s="115"/>
      <c r="L21" s="3"/>
      <c r="M21" s="3"/>
      <c r="N21" s="13"/>
      <c r="O21" s="13"/>
    </row>
    <row r="22" spans="2:16" s="24" customFormat="1" ht="18" customHeight="1" x14ac:dyDescent="0.2">
      <c r="B22" s="183"/>
      <c r="C22" s="181" t="s">
        <v>82</v>
      </c>
      <c r="D22" s="265"/>
      <c r="E22" s="265"/>
      <c r="F22" s="185"/>
      <c r="G22" s="253"/>
      <c r="H22" s="253"/>
      <c r="I22" s="253"/>
      <c r="J22" s="254"/>
      <c r="K22" s="255"/>
      <c r="L22" s="184"/>
      <c r="M22" s="182" t="str">
        <f>IF(OR(C22="Нет",C22="Выбрать")," ------------ ",J22*Support!M58)</f>
        <v xml:space="preserve"> ------------ </v>
      </c>
      <c r="N22" s="208" t="str">
        <f>IF(OR(C22="Нет",C22="Выбрать"),"------------",J22*Support!T58)</f>
        <v>------------</v>
      </c>
      <c r="O22" s="187"/>
      <c r="P22" s="25"/>
    </row>
    <row r="23" spans="2:16" s="6" customFormat="1" ht="3.75" customHeight="1" x14ac:dyDescent="0.2">
      <c r="B23" s="41"/>
      <c r="C23" s="41"/>
      <c r="D23" s="41"/>
      <c r="E23" s="41"/>
      <c r="F23" s="2"/>
      <c r="G23" s="114"/>
      <c r="H23" s="114"/>
      <c r="I23" s="114"/>
      <c r="J23" s="115"/>
      <c r="K23" s="115"/>
      <c r="L23" s="3"/>
      <c r="M23" s="3"/>
      <c r="N23" s="13"/>
      <c r="O23" s="13"/>
    </row>
    <row r="24" spans="2:16" s="24" customFormat="1" ht="18" customHeight="1" x14ac:dyDescent="0.2">
      <c r="B24" s="183"/>
      <c r="C24" s="181" t="s">
        <v>82</v>
      </c>
      <c r="D24" s="265"/>
      <c r="E24" s="265"/>
      <c r="F24" s="185"/>
      <c r="G24" s="253"/>
      <c r="H24" s="253"/>
      <c r="I24" s="253"/>
      <c r="J24" s="254"/>
      <c r="K24" s="255"/>
      <c r="L24" s="184"/>
      <c r="M24" s="182" t="str">
        <f>IF(OR(C24="Нет",C24="Выбрать")," ------------ ",J24*Support!M60)</f>
        <v xml:space="preserve"> ------------ </v>
      </c>
      <c r="N24" s="208" t="str">
        <f>IF(OR(C24="Нет",C24="Выбрать"),"------------",J24*Support!T60)</f>
        <v>------------</v>
      </c>
      <c r="O24" s="187"/>
      <c r="P24" s="25"/>
    </row>
    <row r="25" spans="2:16" s="6" customFormat="1" ht="3.75" customHeight="1" x14ac:dyDescent="0.2">
      <c r="B25" s="41"/>
      <c r="C25" s="41"/>
      <c r="D25" s="2"/>
      <c r="E25" s="2"/>
      <c r="F25" s="2"/>
      <c r="G25" s="2"/>
      <c r="H25" s="2"/>
      <c r="I25" s="2"/>
      <c r="J25" s="3"/>
      <c r="K25" s="3"/>
      <c r="L25" s="3"/>
      <c r="M25" s="3"/>
      <c r="N25" s="13"/>
      <c r="O25" s="13"/>
    </row>
    <row r="26" spans="2:16" s="4" customFormat="1" ht="15" customHeight="1" x14ac:dyDescent="0.2">
      <c r="B26" s="248" t="s">
        <v>208</v>
      </c>
      <c r="C26" s="249"/>
      <c r="D26" s="250">
        <f>D28+D30+N28+N30</f>
        <v>0</v>
      </c>
      <c r="E26" s="251"/>
      <c r="F26" s="249" t="s">
        <v>211</v>
      </c>
      <c r="G26" s="249"/>
      <c r="H26" s="249"/>
      <c r="I26" s="249"/>
      <c r="J26" s="250">
        <f>SUM(J20:K24)</f>
        <v>0</v>
      </c>
      <c r="K26" s="251"/>
      <c r="L26" s="252" t="s">
        <v>42</v>
      </c>
      <c r="M26" s="252"/>
      <c r="N26" s="215"/>
      <c r="O26" s="56" t="s">
        <v>43</v>
      </c>
    </row>
    <row r="27" spans="2:16" s="6" customFormat="1" ht="3.75" customHeight="1" x14ac:dyDescent="0.2">
      <c r="B27" s="173"/>
      <c r="C27" s="173"/>
      <c r="D27" s="2"/>
      <c r="E27" s="2"/>
      <c r="F27" s="172"/>
      <c r="G27" s="172"/>
      <c r="H27" s="172"/>
      <c r="I27" s="172"/>
      <c r="J27" s="3"/>
      <c r="K27" s="3"/>
      <c r="L27" s="171"/>
      <c r="M27" s="171"/>
      <c r="N27" s="13"/>
      <c r="O27" s="13"/>
    </row>
    <row r="28" spans="2:16" s="20" customFormat="1" ht="15" customHeight="1" x14ac:dyDescent="0.2">
      <c r="B28" s="246" t="s">
        <v>209</v>
      </c>
      <c r="C28" s="246"/>
      <c r="D28" s="257">
        <f>Support!$W$30</f>
        <v>0</v>
      </c>
      <c r="E28" s="258"/>
      <c r="F28" s="246" t="s">
        <v>212</v>
      </c>
      <c r="G28" s="246"/>
      <c r="H28" s="246"/>
      <c r="I28" s="246"/>
      <c r="J28" s="257">
        <f>Support!$Y$30</f>
        <v>0</v>
      </c>
      <c r="K28" s="258"/>
      <c r="L28" s="209"/>
      <c r="M28" s="210" t="s">
        <v>214</v>
      </c>
      <c r="N28" s="214">
        <f>IF(OR(J28="",J28=0),0,J28/1.18)</f>
        <v>0</v>
      </c>
      <c r="O28" s="211"/>
      <c r="P28" s="19"/>
    </row>
    <row r="29" spans="2:16" s="6" customFormat="1" ht="3.75" customHeight="1" x14ac:dyDescent="0.2">
      <c r="B29" s="173"/>
      <c r="C29" s="173"/>
      <c r="D29" s="2"/>
      <c r="E29" s="2"/>
      <c r="F29" s="172"/>
      <c r="G29" s="172"/>
      <c r="H29" s="172"/>
      <c r="I29" s="172"/>
      <c r="J29" s="3"/>
      <c r="K29" s="3"/>
      <c r="L29" s="212"/>
      <c r="M29" s="212"/>
      <c r="N29" s="213"/>
      <c r="O29" s="213"/>
    </row>
    <row r="30" spans="2:16" s="20" customFormat="1" ht="15" customHeight="1" x14ac:dyDescent="0.2">
      <c r="B30" s="246" t="s">
        <v>210</v>
      </c>
      <c r="C30" s="246"/>
      <c r="D30" s="257">
        <f>Support!$AA$30</f>
        <v>0</v>
      </c>
      <c r="E30" s="258"/>
      <c r="F30" s="246" t="s">
        <v>213</v>
      </c>
      <c r="G30" s="246"/>
      <c r="H30" s="246"/>
      <c r="I30" s="246"/>
      <c r="J30" s="257">
        <f>Support!$AC$30</f>
        <v>0</v>
      </c>
      <c r="K30" s="258"/>
      <c r="L30" s="209"/>
      <c r="M30" s="210" t="s">
        <v>215</v>
      </c>
      <c r="N30" s="214">
        <f>IF(OR(J30="",J30=0),0,J30/1.18)</f>
        <v>0</v>
      </c>
      <c r="O30" s="211"/>
      <c r="P30" s="19"/>
    </row>
    <row r="31" spans="2:16" s="6" customFormat="1" ht="9" customHeight="1" x14ac:dyDescent="0.2">
      <c r="B31" s="33"/>
      <c r="C31" s="91"/>
      <c r="D31" s="2"/>
      <c r="E31" s="91"/>
      <c r="F31" s="91"/>
      <c r="G31" s="91"/>
      <c r="H31" s="91"/>
      <c r="I31" s="99"/>
      <c r="J31" s="99"/>
      <c r="K31" s="99"/>
      <c r="L31" s="99"/>
      <c r="M31" s="99"/>
      <c r="N31" s="99"/>
      <c r="O31" s="99"/>
    </row>
    <row r="32" spans="2:16" s="6" customFormat="1" ht="15" customHeight="1" x14ac:dyDescent="0.2">
      <c r="B32" s="100"/>
      <c r="C32" s="100"/>
      <c r="D32" s="100"/>
      <c r="E32" s="100"/>
      <c r="F32" s="100"/>
      <c r="G32" s="100"/>
      <c r="H32" s="100"/>
      <c r="I32" s="100"/>
      <c r="J32" s="100"/>
      <c r="K32" s="100"/>
      <c r="L32" s="100"/>
      <c r="M32" s="100"/>
      <c r="N32" s="100"/>
      <c r="O32" s="100"/>
      <c r="P32" s="5"/>
    </row>
    <row r="35" spans="1:15" ht="15" customHeight="1" x14ac:dyDescent="0.2">
      <c r="A35" s="4"/>
      <c r="B35" s="247" t="s">
        <v>234</v>
      </c>
      <c r="C35" s="247"/>
      <c r="D35" s="247"/>
      <c r="E35" s="247"/>
      <c r="F35" s="247"/>
      <c r="G35" s="247"/>
      <c r="H35" s="247"/>
      <c r="I35" s="247"/>
      <c r="J35" s="247"/>
      <c r="K35" s="247"/>
      <c r="L35" s="247"/>
      <c r="M35" s="247"/>
      <c r="N35" s="247"/>
      <c r="O35" s="247"/>
    </row>
    <row r="36" spans="1:15" ht="15" x14ac:dyDescent="0.2">
      <c r="A36" s="4"/>
      <c r="B36" s="247"/>
      <c r="C36" s="247"/>
      <c r="D36" s="247"/>
      <c r="E36" s="247"/>
      <c r="F36" s="247"/>
      <c r="G36" s="247"/>
      <c r="H36" s="247"/>
      <c r="I36" s="247"/>
      <c r="J36" s="247"/>
      <c r="K36" s="247"/>
      <c r="L36" s="247"/>
      <c r="M36" s="247"/>
      <c r="N36" s="247"/>
      <c r="O36" s="247"/>
    </row>
    <row r="37" spans="1:15" ht="15" x14ac:dyDescent="0.2">
      <c r="A37" s="4"/>
      <c r="B37" s="247"/>
      <c r="C37" s="247"/>
      <c r="D37" s="247"/>
      <c r="E37" s="247"/>
      <c r="F37" s="247"/>
      <c r="G37" s="247"/>
      <c r="H37" s="247"/>
      <c r="I37" s="247"/>
      <c r="J37" s="247"/>
      <c r="K37" s="247"/>
      <c r="L37" s="247"/>
      <c r="M37" s="247"/>
      <c r="N37" s="247"/>
      <c r="O37" s="247"/>
    </row>
    <row r="38" spans="1:15" ht="15" x14ac:dyDescent="0.2">
      <c r="A38" s="4"/>
      <c r="B38" s="247"/>
      <c r="C38" s="247"/>
      <c r="D38" s="247"/>
      <c r="E38" s="247"/>
      <c r="F38" s="247"/>
      <c r="G38" s="247"/>
      <c r="H38" s="247"/>
      <c r="I38" s="247"/>
      <c r="J38" s="247"/>
      <c r="K38" s="247"/>
      <c r="L38" s="247"/>
      <c r="M38" s="247"/>
      <c r="N38" s="247"/>
      <c r="O38" s="247"/>
    </row>
    <row r="39" spans="1:15" ht="34.5" customHeight="1" x14ac:dyDescent="0.2">
      <c r="A39" s="4"/>
      <c r="B39" s="247"/>
      <c r="C39" s="247"/>
      <c r="D39" s="247"/>
      <c r="E39" s="247"/>
      <c r="F39" s="247"/>
      <c r="G39" s="247"/>
      <c r="H39" s="247"/>
      <c r="I39" s="247"/>
      <c r="J39" s="247"/>
      <c r="K39" s="247"/>
      <c r="L39" s="247"/>
      <c r="M39" s="247"/>
      <c r="N39" s="247"/>
      <c r="O39" s="247"/>
    </row>
    <row r="40" spans="1:15" ht="16.5" customHeight="1" x14ac:dyDescent="0.2">
      <c r="A40" s="4"/>
      <c r="B40" s="247"/>
      <c r="C40" s="247"/>
      <c r="D40" s="247"/>
      <c r="E40" s="247"/>
      <c r="F40" s="247"/>
      <c r="G40" s="247"/>
      <c r="H40" s="247"/>
      <c r="I40" s="247"/>
      <c r="J40" s="247"/>
      <c r="K40" s="247"/>
      <c r="L40" s="247"/>
      <c r="M40" s="247"/>
      <c r="N40" s="247"/>
      <c r="O40" s="247"/>
    </row>
    <row r="41" spans="1:15" ht="15" x14ac:dyDescent="0.2">
      <c r="A41" s="4"/>
      <c r="B41" s="247"/>
      <c r="C41" s="247"/>
      <c r="D41" s="247"/>
      <c r="E41" s="247"/>
      <c r="F41" s="247"/>
      <c r="G41" s="247"/>
      <c r="H41" s="247"/>
      <c r="I41" s="247"/>
      <c r="J41" s="247"/>
      <c r="K41" s="247"/>
      <c r="L41" s="247"/>
      <c r="M41" s="247"/>
      <c r="N41" s="247"/>
      <c r="O41" s="247"/>
    </row>
    <row r="42" spans="1:15" s="117" customFormat="1" ht="15" x14ac:dyDescent="0.2">
      <c r="A42" s="4"/>
      <c r="B42" s="247"/>
      <c r="C42" s="247"/>
      <c r="D42" s="247"/>
      <c r="E42" s="247"/>
      <c r="F42" s="247"/>
      <c r="G42" s="247"/>
      <c r="H42" s="247"/>
      <c r="I42" s="247"/>
      <c r="J42" s="247"/>
      <c r="K42" s="247"/>
      <c r="L42" s="247"/>
      <c r="M42" s="247"/>
      <c r="N42" s="247"/>
      <c r="O42" s="247"/>
    </row>
    <row r="43" spans="1:15" s="117" customFormat="1" ht="15" x14ac:dyDescent="0.2">
      <c r="A43" s="4"/>
      <c r="B43" s="247"/>
      <c r="C43" s="247"/>
      <c r="D43" s="247"/>
      <c r="E43" s="247"/>
      <c r="F43" s="247"/>
      <c r="G43" s="247"/>
      <c r="H43" s="247"/>
      <c r="I43" s="247"/>
      <c r="J43" s="247"/>
      <c r="K43" s="247"/>
      <c r="L43" s="247"/>
      <c r="M43" s="247"/>
      <c r="N43" s="247"/>
      <c r="O43" s="247"/>
    </row>
    <row r="44" spans="1:15" ht="15" x14ac:dyDescent="0.2">
      <c r="A44" s="4"/>
      <c r="B44" s="247"/>
      <c r="C44" s="247"/>
      <c r="D44" s="247"/>
      <c r="E44" s="247"/>
      <c r="F44" s="247"/>
      <c r="G44" s="247"/>
      <c r="H44" s="247"/>
      <c r="I44" s="247"/>
      <c r="J44" s="247"/>
      <c r="K44" s="247"/>
      <c r="L44" s="247"/>
      <c r="M44" s="247"/>
      <c r="N44" s="247"/>
      <c r="O44" s="247"/>
    </row>
    <row r="45" spans="1:15" ht="15" x14ac:dyDescent="0.2">
      <c r="A45" s="4"/>
      <c r="B45" s="247"/>
      <c r="C45" s="247"/>
      <c r="D45" s="247"/>
      <c r="E45" s="247"/>
      <c r="F45" s="247"/>
      <c r="G45" s="247"/>
      <c r="H45" s="247"/>
      <c r="I45" s="247"/>
      <c r="J45" s="247"/>
      <c r="K45" s="247"/>
      <c r="L45" s="247"/>
      <c r="M45" s="247"/>
      <c r="N45" s="247"/>
      <c r="O45" s="247"/>
    </row>
    <row r="46" spans="1:15" ht="15" x14ac:dyDescent="0.2">
      <c r="A46" s="4"/>
      <c r="B46" s="247"/>
      <c r="C46" s="247"/>
      <c r="D46" s="247"/>
      <c r="E46" s="247"/>
      <c r="F46" s="247"/>
      <c r="G46" s="247"/>
      <c r="H46" s="247"/>
      <c r="I46" s="247"/>
      <c r="J46" s="247"/>
      <c r="K46" s="247"/>
      <c r="L46" s="247"/>
      <c r="M46" s="247"/>
      <c r="N46" s="247"/>
      <c r="O46" s="247"/>
    </row>
    <row r="47" spans="1:15" ht="15" x14ac:dyDescent="0.2">
      <c r="A47" s="4"/>
      <c r="B47" s="247"/>
      <c r="C47" s="247"/>
      <c r="D47" s="247"/>
      <c r="E47" s="247"/>
      <c r="F47" s="247"/>
      <c r="G47" s="247"/>
      <c r="H47" s="247"/>
      <c r="I47" s="247"/>
      <c r="J47" s="247"/>
      <c r="K47" s="247"/>
      <c r="L47" s="247"/>
      <c r="M47" s="247"/>
      <c r="N47" s="247"/>
      <c r="O47" s="247"/>
    </row>
    <row r="48" spans="1:15" ht="15" x14ac:dyDescent="0.2">
      <c r="A48" s="4"/>
      <c r="B48" s="89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</row>
    <row r="49" spans="1:15" ht="15" x14ac:dyDescent="0.2">
      <c r="A49" s="4"/>
      <c r="B49" s="89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</row>
    <row r="50" spans="1:15" ht="16.5" x14ac:dyDescent="0.25">
      <c r="A50" s="4"/>
      <c r="B50" s="14"/>
      <c r="C50" s="12" t="s">
        <v>2</v>
      </c>
      <c r="D50" s="259"/>
      <c r="E50" s="259"/>
      <c r="F50" s="259"/>
      <c r="G50" s="259"/>
      <c r="H50" s="259"/>
      <c r="I50" s="259"/>
      <c r="J50" s="260" t="s">
        <v>3</v>
      </c>
      <c r="K50" s="261"/>
      <c r="L50" s="261"/>
      <c r="M50" s="261"/>
      <c r="N50" s="261"/>
      <c r="O50" s="261"/>
    </row>
    <row r="51" spans="1:15" ht="15" customHeight="1" x14ac:dyDescent="0.2">
      <c r="A51" s="4"/>
      <c r="B51" s="9"/>
      <c r="C51" s="98"/>
      <c r="D51" s="262" t="s">
        <v>4</v>
      </c>
      <c r="E51" s="262"/>
      <c r="F51" s="262"/>
      <c r="G51" s="262"/>
      <c r="H51" s="262"/>
      <c r="I51" s="262"/>
      <c r="J51" s="260"/>
      <c r="K51" s="262" t="s">
        <v>5</v>
      </c>
      <c r="L51" s="262"/>
      <c r="M51" s="262"/>
      <c r="N51" s="262"/>
      <c r="O51" s="262"/>
    </row>
    <row r="52" spans="1:15" ht="15.75" customHeight="1" x14ac:dyDescent="0.2">
      <c r="A52" s="4"/>
      <c r="B52" s="9"/>
      <c r="C52" s="98"/>
      <c r="D52" s="256" t="s">
        <v>203</v>
      </c>
      <c r="E52" s="256"/>
      <c r="F52" s="256"/>
      <c r="G52" s="256"/>
      <c r="H52" s="256"/>
      <c r="I52" s="256"/>
      <c r="J52" s="97"/>
      <c r="K52" s="101"/>
      <c r="L52" s="101"/>
      <c r="M52" s="101"/>
      <c r="N52" s="101"/>
      <c r="O52" s="101"/>
    </row>
    <row r="53" spans="1:15" ht="15.75" customHeight="1" x14ac:dyDescent="0.2">
      <c r="A53" s="4"/>
      <c r="B53" s="99"/>
      <c r="C53" s="11"/>
      <c r="J53" s="17"/>
      <c r="K53" s="17"/>
      <c r="L53" s="17"/>
      <c r="M53" s="17"/>
      <c r="N53" s="17"/>
      <c r="O53" s="17"/>
    </row>
    <row r="54" spans="1:15" ht="15" x14ac:dyDescent="0.2">
      <c r="A54" s="4"/>
    </row>
    <row r="55" spans="1:15" ht="15" x14ac:dyDescent="0.2">
      <c r="A55" s="4"/>
    </row>
  </sheetData>
  <sheetProtection selectLockedCells="1"/>
  <mergeCells count="42">
    <mergeCell ref="K51:O51"/>
    <mergeCell ref="M15:O15"/>
    <mergeCell ref="D19:E19"/>
    <mergeCell ref="G19:I19"/>
    <mergeCell ref="J19:K19"/>
    <mergeCell ref="D20:E20"/>
    <mergeCell ref="G20:I20"/>
    <mergeCell ref="J28:K28"/>
    <mergeCell ref="J20:K20"/>
    <mergeCell ref="D22:E22"/>
    <mergeCell ref="G22:I22"/>
    <mergeCell ref="J22:K22"/>
    <mergeCell ref="D24:E24"/>
    <mergeCell ref="D52:I52"/>
    <mergeCell ref="D3:F3"/>
    <mergeCell ref="C9:F9"/>
    <mergeCell ref="K9:L9"/>
    <mergeCell ref="C15:F15"/>
    <mergeCell ref="B30:C30"/>
    <mergeCell ref="F30:I30"/>
    <mergeCell ref="J30:K30"/>
    <mergeCell ref="D28:E28"/>
    <mergeCell ref="D30:E30"/>
    <mergeCell ref="D50:I50"/>
    <mergeCell ref="J50:J51"/>
    <mergeCell ref="K50:O50"/>
    <mergeCell ref="D51:I51"/>
    <mergeCell ref="M11:O11"/>
    <mergeCell ref="C13:F13"/>
    <mergeCell ref="M9:O9"/>
    <mergeCell ref="C11:F11"/>
    <mergeCell ref="B28:C28"/>
    <mergeCell ref="F28:I28"/>
    <mergeCell ref="B35:O47"/>
    <mergeCell ref="B26:C26"/>
    <mergeCell ref="F26:I26"/>
    <mergeCell ref="J26:K26"/>
    <mergeCell ref="L26:M26"/>
    <mergeCell ref="D26:E26"/>
    <mergeCell ref="G24:I24"/>
    <mergeCell ref="J24:K24"/>
    <mergeCell ref="M13:O13"/>
  </mergeCells>
  <conditionalFormatting sqref="B51:B52">
    <cfRule type="expression" dxfId="1" priority="1" stopIfTrue="1">
      <formula>LEN(TRIM(B51))&gt;0</formula>
    </cfRule>
  </conditionalFormatting>
  <dataValidations count="10">
    <dataValidation allowBlank="1" showInputMessage="1" showErrorMessage="1" prompt="Например, ООО &quot;Ромашка&quot;" sqref="C9 H9 C11 C13 C15"/>
    <dataValidation type="list" allowBlank="1" showInputMessage="1" showErrorMessage="1" sqref="C20 C22 C24">
      <formula1>ПРОДУКТЫ1</formula1>
    </dataValidation>
    <dataValidation type="list" allowBlank="1" showInputMessage="1" showErrorMessage="1" error="Выберите из выпадающего списка" prompt="Выберите из списка" sqref="D3">
      <formula1>Имущество</formula1>
    </dataValidation>
    <dataValidation type="whole" allowBlank="1" showInputMessage="1" showErrorMessage="1" errorTitle="Некорректный аванс" error="Укажите целое число от 5 до 49" sqref="L3">
      <formula1>5</formula1>
      <formula2>49</formula2>
    </dataValidation>
    <dataValidation type="whole" operator="greaterThan" allowBlank="1" showInputMessage="1" showErrorMessage="1" errorTitle="Некорректный срок лизинга" error="Укажите целое число, которое превышает 12" sqref="O3">
      <formula1>12</formula1>
    </dataValidation>
    <dataValidation type="date" operator="greaterThan" allowBlank="1" showInputMessage="1" showErrorMessage="1" errorTitle="Дата заключения" error="Введите дату в формате &quot;ДД.ММ.ГГГГ&quot;" promptTitle="Дата заключения договора" prompt="Введите дату в формате &quot;ДД.ММ.ГГГГ&quot;" sqref="F24 F22 F20">
      <formula1>32874</formula1>
    </dataValidation>
    <dataValidation type="decimal" operator="greaterThanOrEqual" allowBlank="1" showInputMessage="1" showErrorMessage="1" errorTitle="Основной долг по договору, руб." error="Введите положительное число" promptTitle="Основной долг по договору, руб." prompt="Введите положительное число" sqref="G20:I20 G22:I22 G24:I24">
      <formula1>0</formula1>
    </dataValidation>
    <dataValidation type="decimal" operator="greaterThan" allowBlank="1" showInputMessage="1" showErrorMessage="1" errorTitle="Среднемесячный платеж, руб." error="Введите положительное число" promptTitle="Среднемесячный платеж, руб." prompt="Введите положительное число" sqref="J20:K20 J24:K24 J22:K22">
      <formula1>0</formula1>
    </dataValidation>
    <dataValidation type="date" operator="greaterThan" allowBlank="1" showInputMessage="1" showErrorMessage="1" errorTitle="Дата окончания" error="Дата окончания должна быть позднее даты заключения договора" promptTitle="Дата окончания договора" prompt="Введите дату в формате &quot;ДД.ММ.ГГГГ&quot;" sqref="L20">
      <formula1>F20</formula1>
    </dataValidation>
    <dataValidation type="date" operator="greaterThan" allowBlank="1" showInputMessage="1" showErrorMessage="1" errorTitle="Дата окончания" error="Дата окончания должна быть позднее даты заключения договора" promptTitle="Дата окончания договора" prompt="Введите дату в формате &quot;ДД.ММ.ГГГГ&quot;" sqref="L22 L24">
      <formula1>32874</formula1>
    </dataValidation>
  </dataValidations>
  <pageMargins left="0.7" right="0.7" top="0.75" bottom="0.75" header="0.3" footer="0.3"/>
  <pageSetup paperSize="9" orientation="portrait" r:id="rId1"/>
  <ignoredErrors>
    <ignoredError sqref="N30 N28" evalError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29:AN62"/>
  <sheetViews>
    <sheetView windowProtection="1" topLeftCell="A6" zoomScale="70" zoomScaleNormal="70" workbookViewId="0">
      <selection activeCell="W30" sqref="W30"/>
    </sheetView>
  </sheetViews>
  <sheetFormatPr defaultRowHeight="12.75" x14ac:dyDescent="0.2"/>
  <cols>
    <col min="1" max="1" width="18.140625" style="45" customWidth="1"/>
    <col min="2" max="3" width="18.140625" style="47" customWidth="1"/>
    <col min="4" max="6" width="18.140625" style="45" customWidth="1"/>
    <col min="7" max="7" width="18.7109375" style="45" customWidth="1"/>
    <col min="8" max="15" width="15" style="45" customWidth="1"/>
    <col min="16" max="16" width="23.5703125" style="45" bestFit="1" customWidth="1"/>
    <col min="17" max="25" width="15" style="45" customWidth="1"/>
    <col min="26" max="29" width="12.140625" style="45" customWidth="1"/>
    <col min="30" max="30" width="9.140625" style="45"/>
    <col min="31" max="32" width="13.7109375" style="45" customWidth="1"/>
    <col min="33" max="34" width="13.7109375" style="44" customWidth="1"/>
    <col min="35" max="35" width="10.28515625" style="44" bestFit="1" customWidth="1"/>
    <col min="36" max="16384" width="9.140625" style="44"/>
  </cols>
  <sheetData>
    <row r="29" spans="1:40" ht="15" x14ac:dyDescent="0.25">
      <c r="W29" s="48"/>
      <c r="X29" s="47"/>
      <c r="Y29" s="50"/>
      <c r="Z29" s="49"/>
      <c r="AA29" s="49"/>
      <c r="AB29" s="49"/>
      <c r="AC29" s="46"/>
      <c r="AD29" s="46"/>
    </row>
    <row r="30" spans="1:40" ht="15" x14ac:dyDescent="0.2">
      <c r="E30" s="106" t="s">
        <v>97</v>
      </c>
      <c r="F30" s="106"/>
      <c r="G30" s="106"/>
      <c r="H30" s="106"/>
      <c r="V30" s="73" t="s">
        <v>80</v>
      </c>
      <c r="W30" s="94">
        <f>SUM($W34:W$48)</f>
        <v>0</v>
      </c>
      <c r="X30" s="74"/>
      <c r="Y30" s="94">
        <f>SUM($Y34:Y$48)</f>
        <v>0</v>
      </c>
      <c r="Z30" s="75"/>
      <c r="AA30" s="94">
        <f>SUM($AA34:AA$48)</f>
        <v>0</v>
      </c>
      <c r="AB30" s="75"/>
      <c r="AC30" s="94">
        <f>SUM($AC34:AC$48)</f>
        <v>0</v>
      </c>
      <c r="AD30" s="46"/>
    </row>
    <row r="31" spans="1:40" ht="15" x14ac:dyDescent="0.25">
      <c r="W31" s="48"/>
      <c r="X31" s="47"/>
      <c r="Y31" s="50"/>
      <c r="Z31" s="49"/>
      <c r="AA31" s="49"/>
      <c r="AB31" s="49"/>
      <c r="AC31" s="46"/>
      <c r="AD31" s="46"/>
    </row>
    <row r="32" spans="1:40" ht="24" x14ac:dyDescent="0.25">
      <c r="A32" s="68" t="s">
        <v>78</v>
      </c>
      <c r="B32" s="68" t="s">
        <v>76</v>
      </c>
      <c r="C32" s="67" t="s">
        <v>88</v>
      </c>
      <c r="D32" s="67" t="s">
        <v>77</v>
      </c>
      <c r="E32" s="68" t="s">
        <v>89</v>
      </c>
      <c r="F32" s="68" t="s">
        <v>103</v>
      </c>
      <c r="G32" s="68" t="s">
        <v>83</v>
      </c>
      <c r="H32" s="82" t="s">
        <v>84</v>
      </c>
      <c r="I32" s="270">
        <f>Анкета!O7</f>
        <v>0</v>
      </c>
      <c r="J32" s="270"/>
      <c r="K32" s="270"/>
      <c r="L32" s="270"/>
      <c r="M32" s="270"/>
      <c r="N32" s="33"/>
      <c r="O32" s="33"/>
      <c r="P32" s="51" t="s">
        <v>24</v>
      </c>
      <c r="Q32" s="51"/>
      <c r="R32" s="51"/>
      <c r="S32" s="51"/>
      <c r="T32" s="51"/>
      <c r="U32" s="33"/>
      <c r="V32" s="256" t="s">
        <v>38</v>
      </c>
      <c r="W32" s="256"/>
      <c r="X32" s="256"/>
      <c r="Y32" s="256"/>
      <c r="Z32" s="256" t="s">
        <v>39</v>
      </c>
      <c r="AA32" s="256"/>
      <c r="AB32" s="256"/>
      <c r="AC32" s="256"/>
      <c r="AE32" s="48"/>
      <c r="AF32" s="49"/>
      <c r="AG32" s="49"/>
      <c r="AH32" s="50" t="s">
        <v>56</v>
      </c>
      <c r="AI32" s="50" t="e">
        <f>SUM(#REF!)</f>
        <v>#REF!</v>
      </c>
      <c r="AJ32" s="49"/>
      <c r="AK32" s="46"/>
      <c r="AL32" s="46"/>
      <c r="AM32" s="45"/>
      <c r="AN32" s="45"/>
    </row>
    <row r="33" spans="1:40" ht="48" x14ac:dyDescent="0.25">
      <c r="A33" s="67" t="s">
        <v>33</v>
      </c>
      <c r="B33" s="67" t="s">
        <v>23</v>
      </c>
      <c r="C33" s="67" t="s">
        <v>45</v>
      </c>
      <c r="D33" s="67" t="s">
        <v>0</v>
      </c>
      <c r="E33" s="103" t="s">
        <v>42</v>
      </c>
      <c r="F33" s="67" t="s">
        <v>44</v>
      </c>
      <c r="G33" s="81" t="s">
        <v>47</v>
      </c>
      <c r="H33" s="83"/>
      <c r="I33" s="32" t="s">
        <v>34</v>
      </c>
      <c r="J33" s="32"/>
      <c r="K33" s="32"/>
      <c r="L33" s="32" t="s">
        <v>35</v>
      </c>
      <c r="M33" s="32" t="s">
        <v>34</v>
      </c>
      <c r="N33" s="32" t="s">
        <v>46</v>
      </c>
      <c r="O33" s="32"/>
      <c r="P33" s="32" t="s">
        <v>34</v>
      </c>
      <c r="Q33" s="32" t="s">
        <v>35</v>
      </c>
      <c r="R33" s="32" t="s">
        <v>34</v>
      </c>
      <c r="S33" s="32" t="s">
        <v>35</v>
      </c>
      <c r="T33" s="32" t="s">
        <v>36</v>
      </c>
      <c r="U33" s="32" t="s">
        <v>37</v>
      </c>
      <c r="V33" s="269" t="s">
        <v>40</v>
      </c>
      <c r="W33" s="269"/>
      <c r="X33" s="269" t="s">
        <v>41</v>
      </c>
      <c r="Y33" s="269"/>
      <c r="Z33" s="269" t="s">
        <v>40</v>
      </c>
      <c r="AA33" s="269"/>
      <c r="AB33" s="269" t="s">
        <v>41</v>
      </c>
      <c r="AC33" s="269"/>
      <c r="AE33" s="48"/>
      <c r="AF33" s="46"/>
      <c r="AG33" s="46"/>
      <c r="AH33" s="46"/>
      <c r="AI33" s="46"/>
      <c r="AJ33" s="46"/>
      <c r="AK33" s="46"/>
      <c r="AL33" s="46"/>
      <c r="AM33" s="45"/>
      <c r="AN33" s="45"/>
    </row>
    <row r="34" spans="1:40" ht="15.75" x14ac:dyDescent="0.2">
      <c r="A34" s="78">
        <f>Анкета!L34</f>
        <v>0</v>
      </c>
      <c r="B34" s="78">
        <f>Анкета!F34</f>
        <v>0</v>
      </c>
      <c r="C34" s="79">
        <f>Анкета!M34</f>
        <v>0</v>
      </c>
      <c r="D34" s="67" t="str">
        <f>Анкета!C34</f>
        <v>Выбрать</v>
      </c>
      <c r="E34" s="85">
        <f>Анкета!N40</f>
        <v>0</v>
      </c>
      <c r="F34" s="116">
        <f>Анкета!J34</f>
        <v>0</v>
      </c>
      <c r="G34" s="116">
        <f>Анкета!G34</f>
        <v>0</v>
      </c>
      <c r="H34" s="84" t="str">
        <f>IF(OR(D34="Нет",D34="Выбрать")," ------- ",
IF(D34=0,"Укажите продукт",
IF(B34=0,"Укажите дату заключения договора",
IF(A34=0,"Укажите дату окончания договора",
IF(G34=0,"Укажите основной долг",
IF(F34=0,"Укажите ежемесячный платеж",
O34))))))</f>
        <v xml:space="preserve"> ------- </v>
      </c>
      <c r="I34" s="1">
        <f>MONTH(A34)-MONTH(B34)</f>
        <v>0</v>
      </c>
      <c r="J34" s="32"/>
      <c r="K34" s="32"/>
      <c r="L34" s="1">
        <f>YEAR(A34)-YEAR(B34)</f>
        <v>0</v>
      </c>
      <c r="M34" s="32">
        <f>I34+L34*12</f>
        <v>0</v>
      </c>
      <c r="N34" s="66" t="e">
        <f>((C34/G34)-1)/M34*12</f>
        <v>#DIV/0!</v>
      </c>
      <c r="O34" s="52" t="e">
        <f>N34*1.45</f>
        <v>#DIV/0!</v>
      </c>
      <c r="P34" s="33">
        <f>MONTH(A34)-MONTH($I$32)</f>
        <v>0</v>
      </c>
      <c r="Q34" s="33">
        <f>YEAR(A34)-YEAR($I$32)</f>
        <v>0</v>
      </c>
      <c r="R34" s="32">
        <f>IF(P34&gt;0,P34,12+P34)</f>
        <v>12</v>
      </c>
      <c r="S34" s="33">
        <f>IF(P34&gt;0,Q34,Q34-1)</f>
        <v>-1</v>
      </c>
      <c r="T34" s="33">
        <f>MAX(R34+S34*12,0)</f>
        <v>0</v>
      </c>
      <c r="U34" s="69">
        <f>IF(D34="Нет",0,IF(T34&gt;$E$34,$E$34,T34))</f>
        <v>0</v>
      </c>
      <c r="V34" s="33">
        <f>IF(X34&gt;0,0,IF(U34&gt;12,12,U34))</f>
        <v>0</v>
      </c>
      <c r="W34" s="80">
        <f>V34*F34</f>
        <v>0</v>
      </c>
      <c r="X34" s="1">
        <f>IF(D34="Лизинг",IF(U34&gt;12,12,U34),0)</f>
        <v>0</v>
      </c>
      <c r="Y34" s="116">
        <f>X34*F34</f>
        <v>0</v>
      </c>
      <c r="Z34" s="1">
        <f>IF(D34="Лизинг",0,IF(U34&gt;12,U34-12,0))</f>
        <v>0</v>
      </c>
      <c r="AA34" s="1">
        <f>Z34*F34</f>
        <v>0</v>
      </c>
      <c r="AB34" s="1">
        <f>IF(D34="Лизинг",IF(U34&gt;12,U34-12,0),0)</f>
        <v>0</v>
      </c>
      <c r="AC34" s="1">
        <f>AB34*F34</f>
        <v>0</v>
      </c>
      <c r="AE34" s="53"/>
      <c r="AF34" s="46"/>
      <c r="AG34" s="46"/>
      <c r="AH34" s="46"/>
      <c r="AI34" s="46"/>
      <c r="AJ34" s="46"/>
      <c r="AK34" s="46"/>
      <c r="AL34" s="46"/>
      <c r="AM34" s="45"/>
      <c r="AN34" s="45"/>
    </row>
    <row r="35" spans="1:40" ht="15.75" x14ac:dyDescent="0.2">
      <c r="A35" s="76"/>
      <c r="B35" s="76"/>
      <c r="C35" s="67"/>
      <c r="D35" s="67"/>
      <c r="E35" s="76"/>
      <c r="F35" s="76"/>
      <c r="G35" s="1"/>
      <c r="H35" s="84"/>
      <c r="I35" s="1"/>
      <c r="J35" s="32"/>
      <c r="K35" s="32"/>
      <c r="L35" s="1"/>
      <c r="M35" s="60"/>
      <c r="N35" s="33"/>
      <c r="O35" s="33"/>
      <c r="P35" s="33"/>
      <c r="Q35" s="33"/>
      <c r="R35" s="32"/>
      <c r="S35" s="33"/>
      <c r="T35" s="33"/>
      <c r="U35" s="42"/>
      <c r="V35" s="33"/>
      <c r="W35" s="33"/>
      <c r="X35" s="33"/>
      <c r="Y35" s="33"/>
      <c r="Z35" s="33"/>
      <c r="AA35" s="33"/>
      <c r="AB35" s="33"/>
      <c r="AC35" s="33"/>
      <c r="AE35" s="53"/>
      <c r="AF35" s="46"/>
      <c r="AG35" s="46"/>
      <c r="AH35" s="46"/>
      <c r="AI35" s="46"/>
      <c r="AJ35" s="46"/>
      <c r="AK35" s="46"/>
      <c r="AL35" s="46"/>
      <c r="AM35" s="45"/>
      <c r="AN35" s="45"/>
    </row>
    <row r="36" spans="1:40" ht="15.75" x14ac:dyDescent="0.2">
      <c r="A36" s="78">
        <f>Анкета!L36</f>
        <v>0</v>
      </c>
      <c r="B36" s="78">
        <f>Анкета!F36</f>
        <v>0</v>
      </c>
      <c r="C36" s="79">
        <f>Анкета!M36</f>
        <v>0</v>
      </c>
      <c r="D36" s="67" t="str">
        <f>Анкета!C36</f>
        <v>Выбрать</v>
      </c>
      <c r="E36" s="104">
        <f>Анкета!N40</f>
        <v>0</v>
      </c>
      <c r="F36" s="116">
        <f>Анкета!J36</f>
        <v>0</v>
      </c>
      <c r="G36" s="116">
        <f>Анкета!G36</f>
        <v>0</v>
      </c>
      <c r="H36" s="84" t="str">
        <f>IF(OR(D36="Нет",D36="Выбрать")," ------- ",
IF(D36=0,"Укажите продукт",
IF(B36=0,"Укажите дату заключения договора",
IF(A36=0,"Укажите дату окончания договора",
IF(G36=0,"Укажите основной долг",
IF(F36=0,"Укажите ежемесячный платеж",
O36))))))</f>
        <v xml:space="preserve"> ------- </v>
      </c>
      <c r="I36" s="1">
        <f>MONTH(A36)-MONTH(B36)</f>
        <v>0</v>
      </c>
      <c r="J36" s="32"/>
      <c r="K36" s="32"/>
      <c r="L36" s="1">
        <f>YEAR(A36)-YEAR(B36)</f>
        <v>0</v>
      </c>
      <c r="M36" s="60">
        <f>I36+L36*12</f>
        <v>0</v>
      </c>
      <c r="N36" s="66" t="e">
        <f>((C36/G36)-1)/M36*12</f>
        <v>#DIV/0!</v>
      </c>
      <c r="O36" s="52" t="e">
        <f>N36*1.45</f>
        <v>#DIV/0!</v>
      </c>
      <c r="P36" s="33">
        <f>MONTH(A36)-MONTH($I$32)</f>
        <v>0</v>
      </c>
      <c r="Q36" s="33">
        <f>YEAR(A36)-YEAR($I$32)</f>
        <v>0</v>
      </c>
      <c r="R36" s="60">
        <f>IF(P36&gt;0,P36,12+P36)</f>
        <v>12</v>
      </c>
      <c r="S36" s="33">
        <f>IF(P36&gt;0,Q36,Q36-1)</f>
        <v>-1</v>
      </c>
      <c r="T36" s="33">
        <f>MAX(R36+S36*12,0)</f>
        <v>0</v>
      </c>
      <c r="U36" s="69">
        <f>IF(D36="Нет",0,IF(T36&gt;$E$34,$E$34,T36))</f>
        <v>0</v>
      </c>
      <c r="V36" s="33">
        <f>IF(X36&gt;0,0,IF(U36&gt;12,12,U36))</f>
        <v>0</v>
      </c>
      <c r="W36" s="1">
        <f>V36*F36</f>
        <v>0</v>
      </c>
      <c r="X36" s="1">
        <f>IF(D36="Лизинг",IF(U36&gt;12,12,U36),0)</f>
        <v>0</v>
      </c>
      <c r="Y36" s="1">
        <f>X36*F36</f>
        <v>0</v>
      </c>
      <c r="Z36" s="1">
        <f>IF(D36="Лизинг",0,IF(U36&gt;12,U36-12,0))</f>
        <v>0</v>
      </c>
      <c r="AA36" s="1">
        <f>Z36*F36</f>
        <v>0</v>
      </c>
      <c r="AB36" s="1">
        <f>IF(D36="Лизинг",IF(U36&gt;12,U36-12,0),0)</f>
        <v>0</v>
      </c>
      <c r="AC36" s="1">
        <f>AB36*F36</f>
        <v>0</v>
      </c>
      <c r="AE36" s="53"/>
      <c r="AF36" s="46"/>
      <c r="AG36" s="46"/>
      <c r="AH36" s="46"/>
      <c r="AI36" s="46"/>
      <c r="AJ36" s="46"/>
      <c r="AK36" s="46"/>
      <c r="AL36" s="46"/>
      <c r="AM36" s="45"/>
      <c r="AN36" s="45"/>
    </row>
    <row r="37" spans="1:40" ht="15.75" x14ac:dyDescent="0.2">
      <c r="A37" s="76"/>
      <c r="B37" s="76"/>
      <c r="C37" s="67"/>
      <c r="D37" s="67"/>
      <c r="E37" s="105"/>
      <c r="F37" s="76"/>
      <c r="G37" s="1"/>
      <c r="H37" s="84"/>
      <c r="I37" s="1"/>
      <c r="J37" s="32"/>
      <c r="K37" s="32"/>
      <c r="L37" s="1"/>
      <c r="M37" s="60"/>
      <c r="N37" s="33"/>
      <c r="O37" s="33"/>
      <c r="P37" s="33"/>
      <c r="Q37" s="33"/>
      <c r="R37" s="32"/>
      <c r="S37" s="33"/>
      <c r="T37" s="33"/>
      <c r="U37" s="42"/>
      <c r="V37" s="33"/>
      <c r="W37" s="33"/>
      <c r="X37" s="33"/>
      <c r="Y37" s="33"/>
      <c r="Z37" s="33"/>
      <c r="AA37" s="33"/>
      <c r="AB37" s="33"/>
      <c r="AC37" s="33"/>
      <c r="AE37" s="23"/>
      <c r="AF37" s="46"/>
      <c r="AG37" s="46"/>
      <c r="AH37" s="46"/>
      <c r="AI37" s="46"/>
      <c r="AJ37" s="46"/>
      <c r="AK37" s="46"/>
      <c r="AL37" s="46"/>
      <c r="AM37" s="45"/>
      <c r="AN37" s="45"/>
    </row>
    <row r="38" spans="1:40" ht="15.75" x14ac:dyDescent="0.2">
      <c r="A38" s="78">
        <f>Анкета!L38</f>
        <v>0</v>
      </c>
      <c r="B38" s="78">
        <f>Анкета!F38</f>
        <v>0</v>
      </c>
      <c r="C38" s="79">
        <f>Анкета!M38</f>
        <v>0</v>
      </c>
      <c r="D38" s="67" t="str">
        <f>Анкета!C38</f>
        <v>Выбрать</v>
      </c>
      <c r="E38" s="104">
        <f>Анкета!N40</f>
        <v>0</v>
      </c>
      <c r="F38" s="116">
        <f>Анкета!J38</f>
        <v>0</v>
      </c>
      <c r="G38" s="116">
        <f>Анкета!G38</f>
        <v>0</v>
      </c>
      <c r="H38" s="84" t="str">
        <f>IF(OR(D38="Нет",D38="Выбрать")," ------- ",
IF(D38=0,"Укажите продукт",
IF(B38=0,"Укажите дату заключения договора",
IF(A38=0,"Укажите дату окончания договора",
IF(G38=0,"Укажите основной долг",
IF(F38=0,"Укажите ежемесячный платеж",
O38))))))</f>
        <v xml:space="preserve"> ------- </v>
      </c>
      <c r="I38" s="1">
        <f>MONTH(A38)-MONTH(B38)</f>
        <v>0</v>
      </c>
      <c r="J38" s="32"/>
      <c r="K38" s="32"/>
      <c r="L38" s="1">
        <f>YEAR(A38)-YEAR(B38)</f>
        <v>0</v>
      </c>
      <c r="M38" s="60">
        <f>I38+L38*12</f>
        <v>0</v>
      </c>
      <c r="N38" s="66" t="e">
        <f>((C38/G38)-1)/M38*12</f>
        <v>#DIV/0!</v>
      </c>
      <c r="O38" s="52" t="e">
        <f>N38*1.45</f>
        <v>#DIV/0!</v>
      </c>
      <c r="P38" s="33">
        <f>MONTH(A38)-MONTH($I$32)</f>
        <v>0</v>
      </c>
      <c r="Q38" s="33">
        <f>YEAR(A38)-YEAR($I$32)</f>
        <v>0</v>
      </c>
      <c r="R38" s="60">
        <f>IF(P38&gt;0,P38,12+P38)</f>
        <v>12</v>
      </c>
      <c r="S38" s="33">
        <f>IF(P38&gt;0,Q38,Q38-1)</f>
        <v>-1</v>
      </c>
      <c r="T38" s="33">
        <f>MAX(R38+S38*12,0)</f>
        <v>0</v>
      </c>
      <c r="U38" s="69">
        <f>IF(D38="Нет",0,IF(T38&gt;$E$34,$E$34,T38))</f>
        <v>0</v>
      </c>
      <c r="V38" s="33">
        <f>IF(X38&gt;0,0,IF(U38&gt;12,12,U38))</f>
        <v>0</v>
      </c>
      <c r="W38" s="1">
        <f>V38*F38</f>
        <v>0</v>
      </c>
      <c r="X38" s="1">
        <f>IF(D38="Лизинг",IF(U38&gt;12,12,U38),0)</f>
        <v>0</v>
      </c>
      <c r="Y38" s="1">
        <f>X38*F38</f>
        <v>0</v>
      </c>
      <c r="Z38" s="1">
        <f>IF(D38="Лизинг",0,IF(U38&gt;12,U38-12,0))</f>
        <v>0</v>
      </c>
      <c r="AA38" s="1">
        <f>Z38*F38</f>
        <v>0</v>
      </c>
      <c r="AB38" s="1">
        <f>IF(D38="Лизинг",IF(U38&gt;12,U38-12,0),0)</f>
        <v>0</v>
      </c>
      <c r="AC38" s="1">
        <f>AB38*F38</f>
        <v>0</v>
      </c>
      <c r="AG38" s="45"/>
      <c r="AH38" s="45"/>
      <c r="AI38" s="45"/>
      <c r="AJ38" s="45"/>
      <c r="AK38" s="45"/>
      <c r="AL38" s="45"/>
      <c r="AM38" s="45"/>
      <c r="AN38" s="45"/>
    </row>
    <row r="39" spans="1:40" ht="15.75" x14ac:dyDescent="0.2">
      <c r="A39" s="76"/>
      <c r="B39" s="76"/>
      <c r="C39" s="67"/>
      <c r="D39" s="67"/>
      <c r="E39" s="105"/>
      <c r="F39" s="76"/>
      <c r="G39" s="76"/>
      <c r="H39" s="76"/>
      <c r="I39" s="1"/>
      <c r="J39" s="32"/>
      <c r="K39" s="32"/>
      <c r="L39" s="1"/>
      <c r="M39" s="60"/>
      <c r="N39" s="33"/>
      <c r="O39" s="33"/>
      <c r="P39" s="33"/>
      <c r="Q39" s="33"/>
      <c r="R39" s="32"/>
      <c r="S39" s="33"/>
      <c r="T39" s="33"/>
      <c r="U39" s="42"/>
      <c r="V39" s="33"/>
      <c r="W39" s="33"/>
      <c r="X39" s="33"/>
      <c r="Y39" s="33"/>
      <c r="Z39" s="33"/>
      <c r="AA39" s="33"/>
      <c r="AB39" s="33"/>
      <c r="AC39" s="33"/>
      <c r="AG39" s="45"/>
      <c r="AH39" s="45"/>
      <c r="AI39" s="45"/>
      <c r="AJ39" s="45"/>
      <c r="AK39" s="45"/>
      <c r="AL39" s="45"/>
      <c r="AM39" s="45"/>
      <c r="AN39" s="45"/>
    </row>
    <row r="40" spans="1:40" ht="15.75" x14ac:dyDescent="0.2">
      <c r="A40" s="76"/>
      <c r="B40" s="76"/>
      <c r="C40" s="67"/>
      <c r="D40" s="67"/>
      <c r="E40" s="105"/>
      <c r="F40" s="76"/>
      <c r="G40" s="76"/>
      <c r="H40" s="76"/>
      <c r="I40" s="1"/>
      <c r="J40" s="86"/>
      <c r="K40" s="86"/>
      <c r="L40" s="1"/>
      <c r="M40" s="86"/>
      <c r="N40" s="33"/>
      <c r="O40" s="33"/>
      <c r="P40" s="33"/>
      <c r="Q40" s="33"/>
      <c r="R40" s="86"/>
      <c r="S40" s="33"/>
      <c r="T40" s="33"/>
      <c r="U40" s="42"/>
      <c r="V40" s="33"/>
      <c r="W40" s="33"/>
      <c r="X40" s="33"/>
      <c r="Y40" s="33"/>
      <c r="Z40" s="33"/>
      <c r="AA40" s="33"/>
      <c r="AB40" s="33"/>
      <c r="AC40" s="33"/>
      <c r="AG40" s="45"/>
      <c r="AH40" s="45"/>
      <c r="AI40" s="45"/>
      <c r="AJ40" s="45"/>
      <c r="AK40" s="45"/>
      <c r="AL40" s="45"/>
      <c r="AM40" s="45"/>
      <c r="AN40" s="45"/>
    </row>
    <row r="41" spans="1:40" ht="15.75" x14ac:dyDescent="0.2">
      <c r="A41" s="76"/>
      <c r="B41" s="76"/>
      <c r="C41" s="67"/>
      <c r="D41" s="67"/>
      <c r="E41" s="76"/>
      <c r="F41" s="76"/>
      <c r="G41" s="76"/>
      <c r="H41" s="76"/>
      <c r="I41" s="1"/>
      <c r="J41" s="71"/>
      <c r="K41" s="71"/>
      <c r="L41" s="1"/>
      <c r="M41" s="71"/>
      <c r="N41" s="33"/>
      <c r="O41" s="33"/>
      <c r="P41" s="33"/>
      <c r="Q41" s="33"/>
      <c r="R41" s="71"/>
      <c r="S41" s="33"/>
      <c r="T41" s="33"/>
      <c r="U41" s="42"/>
      <c r="V41" s="33"/>
      <c r="W41" s="33"/>
      <c r="X41" s="33"/>
      <c r="Y41" s="33"/>
      <c r="Z41" s="33"/>
      <c r="AA41" s="33"/>
      <c r="AB41" s="33"/>
      <c r="AC41" s="33"/>
      <c r="AG41" s="45"/>
      <c r="AH41" s="45"/>
      <c r="AI41" s="45"/>
      <c r="AJ41" s="45"/>
      <c r="AK41" s="45"/>
      <c r="AL41" s="45"/>
      <c r="AM41" s="45"/>
      <c r="AN41" s="45"/>
    </row>
    <row r="42" spans="1:40" ht="15.75" x14ac:dyDescent="0.2">
      <c r="A42" s="76"/>
      <c r="B42" s="76"/>
      <c r="C42" s="67"/>
      <c r="D42" s="67"/>
      <c r="E42" s="76"/>
      <c r="F42" s="76"/>
      <c r="G42" s="76"/>
      <c r="H42" s="76"/>
      <c r="I42" s="1"/>
      <c r="J42" s="71"/>
      <c r="K42" s="71"/>
      <c r="L42" s="1"/>
      <c r="M42" s="71"/>
      <c r="N42" s="33"/>
      <c r="O42" s="33"/>
      <c r="P42" s="33"/>
      <c r="Q42" s="33"/>
      <c r="R42" s="71"/>
      <c r="S42" s="33"/>
      <c r="T42" s="33"/>
      <c r="U42" s="42"/>
      <c r="V42" s="33"/>
      <c r="W42" s="33"/>
      <c r="X42" s="33"/>
      <c r="Y42" s="33"/>
      <c r="Z42" s="33"/>
      <c r="AA42" s="33"/>
      <c r="AB42" s="33"/>
      <c r="AC42" s="33"/>
      <c r="AG42" s="45"/>
      <c r="AH42" s="45"/>
      <c r="AI42" s="45"/>
      <c r="AJ42" s="45"/>
      <c r="AK42" s="45"/>
      <c r="AL42" s="45"/>
      <c r="AM42" s="45"/>
      <c r="AN42" s="45"/>
    </row>
    <row r="43" spans="1:40" ht="15.75" x14ac:dyDescent="0.2">
      <c r="A43" s="76"/>
      <c r="B43" s="76"/>
      <c r="C43" s="67"/>
      <c r="D43" s="67"/>
      <c r="E43" s="76"/>
      <c r="F43" s="76"/>
      <c r="G43" s="76"/>
      <c r="H43" s="76"/>
      <c r="I43" s="1"/>
      <c r="J43" s="62"/>
      <c r="K43" s="62"/>
      <c r="L43" s="1"/>
      <c r="M43" s="62"/>
      <c r="N43" s="33"/>
      <c r="O43" s="33"/>
      <c r="P43" s="33"/>
      <c r="Q43" s="33"/>
      <c r="R43" s="62"/>
      <c r="S43" s="33"/>
      <c r="T43" s="33"/>
      <c r="U43" s="42"/>
      <c r="V43" s="33"/>
      <c r="W43" s="33"/>
      <c r="X43" s="33"/>
      <c r="Y43" s="33"/>
      <c r="Z43" s="33"/>
      <c r="AA43" s="33"/>
      <c r="AB43" s="33"/>
      <c r="AC43" s="33"/>
      <c r="AG43" s="45"/>
      <c r="AH43" s="45"/>
      <c r="AI43" s="45"/>
      <c r="AJ43" s="45"/>
      <c r="AK43" s="45"/>
      <c r="AL43" s="45"/>
      <c r="AM43" s="45"/>
      <c r="AN43" s="45"/>
    </row>
    <row r="44" spans="1:40" ht="15.75" x14ac:dyDescent="0.2">
      <c r="A44" s="76"/>
      <c r="B44" s="76"/>
      <c r="C44" s="67"/>
      <c r="D44" s="67"/>
      <c r="E44" s="76"/>
      <c r="F44" s="76"/>
      <c r="G44" s="76"/>
      <c r="H44" s="76"/>
      <c r="I44" s="1"/>
      <c r="J44" s="60"/>
      <c r="K44" s="60"/>
      <c r="L44" s="1"/>
      <c r="M44" s="60"/>
      <c r="N44" s="33"/>
      <c r="O44" s="33"/>
      <c r="P44" s="33"/>
      <c r="Q44" s="33"/>
      <c r="R44" s="60"/>
      <c r="S44" s="33"/>
      <c r="T44" s="33"/>
      <c r="U44" s="42"/>
      <c r="V44" s="33"/>
      <c r="W44" s="33"/>
      <c r="X44" s="33"/>
      <c r="Y44" s="33"/>
      <c r="Z44" s="33"/>
      <c r="AA44" s="33"/>
      <c r="AB44" s="33"/>
      <c r="AC44" s="33"/>
      <c r="AG44" s="45"/>
      <c r="AH44" s="45"/>
      <c r="AI44" s="45"/>
      <c r="AJ44" s="45"/>
      <c r="AK44" s="45"/>
      <c r="AL44" s="45"/>
      <c r="AM44" s="45"/>
      <c r="AN44" s="45"/>
    </row>
    <row r="45" spans="1:40" ht="15.75" x14ac:dyDescent="0.2">
      <c r="A45" s="76"/>
      <c r="B45" s="76"/>
      <c r="C45" s="67"/>
      <c r="D45" s="67"/>
      <c r="E45" s="76"/>
      <c r="F45" s="76"/>
      <c r="G45" s="76"/>
      <c r="H45" s="76"/>
      <c r="I45" s="1"/>
      <c r="J45" s="71"/>
      <c r="K45" s="71"/>
      <c r="L45" s="1"/>
      <c r="M45" s="71"/>
      <c r="N45" s="33"/>
      <c r="O45" s="33"/>
      <c r="P45" s="33"/>
      <c r="Q45" s="33"/>
      <c r="R45" s="71"/>
      <c r="S45" s="33"/>
      <c r="T45" s="33"/>
      <c r="U45" s="42"/>
      <c r="V45" s="33"/>
      <c r="W45" s="33"/>
      <c r="X45" s="33"/>
      <c r="Y45" s="33"/>
      <c r="Z45" s="33"/>
      <c r="AA45" s="33"/>
      <c r="AB45" s="33"/>
      <c r="AC45" s="33"/>
      <c r="AG45" s="45"/>
      <c r="AH45" s="45"/>
      <c r="AI45" s="45"/>
      <c r="AJ45" s="45"/>
      <c r="AK45" s="45"/>
      <c r="AL45" s="45"/>
      <c r="AM45" s="45"/>
      <c r="AN45" s="45"/>
    </row>
    <row r="46" spans="1:40" ht="15.75" x14ac:dyDescent="0.2">
      <c r="A46" s="76"/>
      <c r="B46" s="76"/>
      <c r="C46" s="67"/>
      <c r="D46" s="67"/>
      <c r="E46" s="76"/>
      <c r="F46" s="76"/>
      <c r="G46" s="76"/>
      <c r="H46" s="76"/>
      <c r="I46" s="1"/>
      <c r="J46" s="71"/>
      <c r="K46" s="71"/>
      <c r="L46" s="1"/>
      <c r="M46" s="71"/>
      <c r="N46" s="33"/>
      <c r="O46" s="33"/>
      <c r="P46" s="33"/>
      <c r="Q46" s="33"/>
      <c r="R46" s="71"/>
      <c r="S46" s="33"/>
      <c r="T46" s="33"/>
      <c r="U46" s="42"/>
      <c r="V46" s="33"/>
      <c r="W46" s="33"/>
      <c r="X46" s="33"/>
      <c r="Y46" s="33"/>
      <c r="Z46" s="33"/>
      <c r="AA46" s="33"/>
      <c r="AB46" s="33"/>
      <c r="AC46" s="33"/>
      <c r="AG46" s="45"/>
      <c r="AH46" s="45"/>
      <c r="AI46" s="45"/>
      <c r="AJ46" s="45"/>
      <c r="AK46" s="45"/>
      <c r="AL46" s="45"/>
      <c r="AM46" s="45"/>
      <c r="AN46" s="45"/>
    </row>
    <row r="47" spans="1:40" ht="15" x14ac:dyDescent="0.2">
      <c r="A47" s="44"/>
      <c r="B47" s="44"/>
      <c r="C47" s="59"/>
      <c r="D47" s="59"/>
      <c r="E47" s="44"/>
      <c r="F47" s="44"/>
      <c r="G47" s="44"/>
      <c r="H47" s="44"/>
      <c r="I47" s="6"/>
      <c r="J47" s="61"/>
      <c r="K47" s="61"/>
      <c r="L47" s="6"/>
      <c r="M47" s="61"/>
      <c r="N47" s="6"/>
      <c r="O47" s="6"/>
      <c r="P47" s="6"/>
      <c r="Q47" s="6"/>
      <c r="R47" s="61"/>
      <c r="S47" s="6"/>
      <c r="T47" s="6"/>
      <c r="U47" s="6"/>
      <c r="V47" s="6"/>
      <c r="W47" s="6"/>
      <c r="X47" s="6"/>
      <c r="Y47" s="6"/>
      <c r="Z47" s="6"/>
      <c r="AA47" s="6"/>
      <c r="AB47" s="33"/>
      <c r="AC47" s="33"/>
      <c r="AG47" s="45"/>
      <c r="AH47" s="45"/>
      <c r="AI47" s="45"/>
      <c r="AJ47" s="45"/>
      <c r="AK47" s="45"/>
      <c r="AL47" s="45"/>
      <c r="AM47" s="45"/>
      <c r="AN47" s="45"/>
    </row>
    <row r="48" spans="1:40" ht="15" x14ac:dyDescent="0.2">
      <c r="A48" s="44"/>
      <c r="B48" s="44"/>
      <c r="C48" s="44"/>
      <c r="D48" s="44"/>
      <c r="E48" s="6"/>
      <c r="F48" s="31"/>
      <c r="G48" s="31"/>
      <c r="H48" s="6"/>
      <c r="I48" s="31"/>
      <c r="J48" s="6"/>
      <c r="K48" s="6"/>
      <c r="L48" s="6"/>
      <c r="M48" s="6"/>
      <c r="N48" s="31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AG48" s="45"/>
      <c r="AH48" s="45"/>
      <c r="AI48" s="45"/>
      <c r="AJ48" s="45"/>
    </row>
    <row r="62" spans="1:1" x14ac:dyDescent="0.2">
      <c r="A62" s="95"/>
    </row>
  </sheetData>
  <sheetProtection formatCells="0" formatColumns="0" formatRows="0" insertColumns="0" insertRows="0" insertHyperlinks="0" deleteColumns="0" deleteRows="0" sort="0" autoFilter="0" pivotTables="0"/>
  <mergeCells count="7">
    <mergeCell ref="AB33:AC33"/>
    <mergeCell ref="Z32:AC32"/>
    <mergeCell ref="I32:M32"/>
    <mergeCell ref="V33:W33"/>
    <mergeCell ref="X33:Y33"/>
    <mergeCell ref="V32:Y32"/>
    <mergeCell ref="Z33:AA33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T20"/>
  <sheetViews>
    <sheetView windowProtection="1" topLeftCell="D1" zoomScale="70" zoomScaleNormal="70" workbookViewId="0">
      <selection activeCell="A27" sqref="A27:A31"/>
    </sheetView>
  </sheetViews>
  <sheetFormatPr defaultRowHeight="12.75" x14ac:dyDescent="0.2"/>
  <cols>
    <col min="1" max="1" width="59.140625" customWidth="1"/>
    <col min="2" max="2" width="41.85546875" bestFit="1" customWidth="1"/>
    <col min="3" max="3" width="4.7109375" customWidth="1"/>
    <col min="4" max="4" width="21.42578125" bestFit="1" customWidth="1"/>
    <col min="5" max="5" width="4.7109375" customWidth="1"/>
    <col min="6" max="6" width="27.42578125" bestFit="1" customWidth="1"/>
    <col min="7" max="7" width="4.42578125" customWidth="1"/>
    <col min="8" max="8" width="11.7109375" bestFit="1" customWidth="1"/>
    <col min="9" max="9" width="4.42578125" customWidth="1"/>
    <col min="10" max="10" width="32.140625" customWidth="1"/>
    <col min="11" max="11" width="4.42578125" customWidth="1"/>
    <col min="12" max="12" width="11.7109375" bestFit="1" customWidth="1"/>
    <col min="13" max="13" width="4.42578125" customWidth="1"/>
    <col min="14" max="14" width="30.5703125" bestFit="1" customWidth="1"/>
    <col min="15" max="15" width="4.42578125" customWidth="1"/>
    <col min="16" max="16" width="10.7109375" bestFit="1" customWidth="1"/>
    <col min="17" max="17" width="4.42578125" customWidth="1"/>
    <col min="18" max="18" width="41.5703125" bestFit="1" customWidth="1"/>
    <col min="19" max="19" width="4.42578125" customWidth="1"/>
    <col min="20" max="20" width="23.85546875" customWidth="1"/>
    <col min="21" max="21" width="4.42578125" customWidth="1"/>
  </cols>
  <sheetData>
    <row r="1" spans="1:20" ht="15.75" x14ac:dyDescent="0.2">
      <c r="A1" s="65" t="s">
        <v>75</v>
      </c>
      <c r="D1" s="27" t="s">
        <v>31</v>
      </c>
      <c r="F1" s="15" t="s">
        <v>70</v>
      </c>
      <c r="H1" s="27" t="s">
        <v>27</v>
      </c>
      <c r="J1" s="30" t="s">
        <v>52</v>
      </c>
      <c r="L1" s="35" t="s">
        <v>59</v>
      </c>
      <c r="N1" s="35" t="s">
        <v>60</v>
      </c>
      <c r="P1" s="30" t="s">
        <v>54</v>
      </c>
      <c r="R1" s="30" t="s">
        <v>20</v>
      </c>
      <c r="T1" s="30" t="s">
        <v>104</v>
      </c>
    </row>
    <row r="2" spans="1:20" ht="15.75" x14ac:dyDescent="0.25">
      <c r="A2" s="77"/>
      <c r="B2" s="29"/>
      <c r="D2" s="28" t="s">
        <v>82</v>
      </c>
      <c r="F2" s="200" t="s">
        <v>82</v>
      </c>
      <c r="H2" s="28" t="s">
        <v>82</v>
      </c>
      <c r="J2" s="28" t="s">
        <v>82</v>
      </c>
      <c r="L2" s="28" t="s">
        <v>82</v>
      </c>
      <c r="N2" s="28" t="s">
        <v>82</v>
      </c>
      <c r="P2" s="28" t="s">
        <v>82</v>
      </c>
      <c r="R2" s="28" t="s">
        <v>82</v>
      </c>
      <c r="T2" s="200" t="s">
        <v>82</v>
      </c>
    </row>
    <row r="3" spans="1:20" ht="15.75" x14ac:dyDescent="0.25">
      <c r="A3" s="65">
        <v>1</v>
      </c>
      <c r="B3" s="70" t="s">
        <v>74</v>
      </c>
      <c r="D3" s="28" t="s">
        <v>68</v>
      </c>
      <c r="F3" s="200" t="s">
        <v>28</v>
      </c>
      <c r="H3" s="28" t="s">
        <v>22</v>
      </c>
      <c r="J3" s="28" t="s">
        <v>114</v>
      </c>
      <c r="L3" s="34" t="s">
        <v>58</v>
      </c>
      <c r="N3" s="34" t="s">
        <v>61</v>
      </c>
      <c r="P3" s="201">
        <v>0.1</v>
      </c>
      <c r="R3" s="28" t="s">
        <v>1</v>
      </c>
      <c r="T3" s="200" t="s">
        <v>112</v>
      </c>
    </row>
    <row r="4" spans="1:20" ht="15.75" x14ac:dyDescent="0.25">
      <c r="A4" s="65">
        <v>3</v>
      </c>
      <c r="B4" s="70" t="s">
        <v>79</v>
      </c>
      <c r="D4" s="28" t="s">
        <v>69</v>
      </c>
      <c r="F4" s="200" t="s">
        <v>29</v>
      </c>
      <c r="H4" s="28" t="s">
        <v>26</v>
      </c>
      <c r="J4" s="28" t="s">
        <v>86</v>
      </c>
      <c r="L4" s="34" t="s">
        <v>22</v>
      </c>
      <c r="N4" s="34" t="s">
        <v>62</v>
      </c>
      <c r="P4" s="201">
        <v>0.15</v>
      </c>
      <c r="R4" s="28" t="s">
        <v>9</v>
      </c>
      <c r="T4" s="200" t="s">
        <v>113</v>
      </c>
    </row>
    <row r="5" spans="1:20" ht="15.75" x14ac:dyDescent="0.25">
      <c r="A5" s="55"/>
      <c r="B5" s="55"/>
      <c r="F5" s="200" t="s">
        <v>30</v>
      </c>
      <c r="H5" s="28" t="s">
        <v>25</v>
      </c>
      <c r="J5" s="28" t="s">
        <v>87</v>
      </c>
      <c r="L5" s="29"/>
      <c r="N5" s="29"/>
      <c r="P5" s="201">
        <v>0.2</v>
      </c>
      <c r="R5" s="28" t="s">
        <v>220</v>
      </c>
      <c r="T5" s="200" t="s">
        <v>109</v>
      </c>
    </row>
    <row r="6" spans="1:20" ht="15.75" x14ac:dyDescent="0.25">
      <c r="A6" s="55"/>
      <c r="B6" s="55"/>
      <c r="F6" s="200" t="s">
        <v>71</v>
      </c>
      <c r="H6" s="28" t="s">
        <v>85</v>
      </c>
      <c r="J6" s="28" t="s">
        <v>53</v>
      </c>
      <c r="P6" s="201">
        <v>0.25</v>
      </c>
      <c r="R6" s="28" t="s">
        <v>221</v>
      </c>
    </row>
    <row r="7" spans="1:20" ht="15.75" x14ac:dyDescent="0.25">
      <c r="A7" s="55"/>
      <c r="B7" s="55"/>
      <c r="H7" s="28"/>
      <c r="P7" s="201">
        <v>0.3</v>
      </c>
      <c r="R7" s="28" t="s">
        <v>222</v>
      </c>
    </row>
    <row r="8" spans="1:20" ht="15.75" x14ac:dyDescent="0.25">
      <c r="A8" s="55"/>
      <c r="B8" s="55"/>
      <c r="H8" s="28"/>
      <c r="J8" s="29"/>
      <c r="P8" s="201">
        <v>0.35</v>
      </c>
      <c r="R8" s="28" t="s">
        <v>6</v>
      </c>
    </row>
    <row r="9" spans="1:20" ht="15.75" x14ac:dyDescent="0.25">
      <c r="A9" s="55"/>
      <c r="B9" s="55"/>
      <c r="H9" s="28"/>
      <c r="P9" s="201">
        <v>0.4</v>
      </c>
      <c r="R9" s="28" t="s">
        <v>11</v>
      </c>
    </row>
    <row r="10" spans="1:20" ht="15.75" x14ac:dyDescent="0.25">
      <c r="A10" s="55"/>
      <c r="B10" s="55"/>
      <c r="H10" s="28"/>
      <c r="P10" s="201">
        <v>0.45</v>
      </c>
      <c r="R10" s="28" t="s">
        <v>10</v>
      </c>
    </row>
    <row r="11" spans="1:20" ht="15.75" x14ac:dyDescent="0.25">
      <c r="A11" s="55"/>
      <c r="B11" s="55"/>
      <c r="H11" s="28"/>
      <c r="P11" s="201">
        <v>0.49</v>
      </c>
      <c r="R11" s="28" t="s">
        <v>14</v>
      </c>
    </row>
    <row r="12" spans="1:20" ht="15.75" x14ac:dyDescent="0.2">
      <c r="A12" s="55"/>
      <c r="B12" s="55"/>
      <c r="H12" s="28"/>
      <c r="P12" s="29"/>
      <c r="R12" s="28" t="s">
        <v>12</v>
      </c>
    </row>
    <row r="13" spans="1:20" ht="15.75" x14ac:dyDescent="0.2">
      <c r="A13" s="55"/>
      <c r="B13" s="55"/>
      <c r="H13" s="28"/>
      <c r="P13" s="29"/>
      <c r="R13" s="28" t="s">
        <v>13</v>
      </c>
    </row>
    <row r="14" spans="1:20" ht="15.75" x14ac:dyDescent="0.2">
      <c r="A14" s="55"/>
      <c r="B14" s="55"/>
      <c r="H14" s="29"/>
      <c r="R14" s="28" t="s">
        <v>223</v>
      </c>
    </row>
    <row r="15" spans="1:20" ht="15.75" x14ac:dyDescent="0.2">
      <c r="A15" s="55"/>
      <c r="B15" s="55"/>
      <c r="R15" s="28" t="s">
        <v>224</v>
      </c>
    </row>
    <row r="16" spans="1:20" ht="15.75" x14ac:dyDescent="0.2">
      <c r="A16" s="55"/>
      <c r="B16" s="55"/>
      <c r="R16" s="28" t="s">
        <v>226</v>
      </c>
    </row>
    <row r="17" spans="1:18" ht="15.75" x14ac:dyDescent="0.2">
      <c r="A17" s="55"/>
      <c r="B17" s="55"/>
      <c r="R17" s="28" t="s">
        <v>225</v>
      </c>
    </row>
    <row r="18" spans="1:18" ht="15.75" x14ac:dyDescent="0.2">
      <c r="A18" s="55"/>
      <c r="B18" s="55"/>
      <c r="R18" s="28" t="s">
        <v>32</v>
      </c>
    </row>
    <row r="19" spans="1:18" x14ac:dyDescent="0.2">
      <c r="A19" s="55"/>
      <c r="B19" s="55"/>
      <c r="R19" s="29"/>
    </row>
    <row r="20" spans="1:18" x14ac:dyDescent="0.2">
      <c r="A20" s="55"/>
      <c r="B20" s="55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FE197"/>
  <sheetViews>
    <sheetView windowProtection="1" topLeftCell="AC31" zoomScale="70" zoomScaleNormal="70" workbookViewId="0">
      <selection activeCell="CI42" sqref="CI42:CO50"/>
    </sheetView>
  </sheetViews>
  <sheetFormatPr defaultRowHeight="12.75" x14ac:dyDescent="0.2"/>
  <cols>
    <col min="1" max="1" width="4.42578125" customWidth="1"/>
    <col min="2" max="2" width="40.42578125" customWidth="1"/>
    <col min="3" max="3" width="20.7109375" customWidth="1"/>
    <col min="4" max="4" width="4.7109375" customWidth="1"/>
    <col min="5" max="5" width="21.5703125" customWidth="1"/>
    <col min="6" max="6" width="18.7109375" customWidth="1"/>
    <col min="7" max="7" width="6.7109375" customWidth="1"/>
    <col min="8" max="8" width="5.7109375" customWidth="1"/>
    <col min="9" max="9" width="7" customWidth="1"/>
    <col min="10" max="10" width="4.85546875" customWidth="1"/>
    <col min="11" max="11" width="20.85546875" customWidth="1"/>
    <col min="12" max="12" width="20.7109375" customWidth="1"/>
    <col min="13" max="13" width="23" customWidth="1"/>
    <col min="14" max="14" width="21.140625" customWidth="1"/>
    <col min="15" max="15" width="22.85546875" customWidth="1"/>
    <col min="16" max="16" width="5.7109375" customWidth="1"/>
    <col min="17" max="22" width="25.42578125" style="124" customWidth="1"/>
    <col min="23" max="23" width="6.42578125" style="124" customWidth="1"/>
    <col min="24" max="25" width="25.42578125" style="124" customWidth="1"/>
    <col min="26" max="26" width="24.140625" style="124" customWidth="1"/>
    <col min="27" max="27" width="30.42578125" style="124" customWidth="1"/>
    <col min="28" max="29" width="34.28515625" style="124" customWidth="1"/>
    <col min="30" max="30" width="25.42578125" style="124" customWidth="1"/>
    <col min="31" max="31" width="6.42578125" style="124" customWidth="1"/>
    <col min="32" max="32" width="12.7109375" style="124" customWidth="1"/>
    <col min="33" max="33" width="4.42578125" style="124" customWidth="1"/>
    <col min="34" max="34" width="40.42578125" style="124" customWidth="1"/>
    <col min="35" max="35" width="20.7109375" style="124" customWidth="1"/>
    <col min="36" max="36" width="4.7109375" style="124" customWidth="1"/>
    <col min="37" max="37" width="21.5703125" style="124" customWidth="1"/>
    <col min="38" max="38" width="18.7109375" style="124" customWidth="1"/>
    <col min="39" max="39" width="18.28515625" style="124" customWidth="1"/>
    <col min="40" max="40" width="4.42578125" style="124" customWidth="1"/>
    <col min="41" max="41" width="40.42578125" style="124" customWidth="1"/>
    <col min="42" max="42" width="20.7109375" style="124" customWidth="1"/>
    <col min="43" max="43" width="4.7109375" style="124" customWidth="1"/>
    <col min="44" max="44" width="21.5703125" style="124" customWidth="1"/>
    <col min="45" max="45" width="18.7109375" style="124" customWidth="1"/>
    <col min="46" max="46" width="18.28515625" style="124" customWidth="1"/>
    <col min="47" max="47" width="4.42578125" style="124" customWidth="1"/>
    <col min="48" max="48" width="40.42578125" style="124" customWidth="1"/>
    <col min="49" max="49" width="20.7109375" style="124" customWidth="1"/>
    <col min="50" max="50" width="4.7109375" style="124" customWidth="1"/>
    <col min="51" max="51" width="21.5703125" style="124" customWidth="1"/>
    <col min="52" max="52" width="18.7109375" style="124" customWidth="1"/>
    <col min="53" max="53" width="18.28515625" style="124" customWidth="1"/>
    <col min="54" max="54" width="4.42578125" style="124" customWidth="1"/>
    <col min="55" max="55" width="40.42578125" style="124" customWidth="1"/>
    <col min="56" max="56" width="20.7109375" style="124" customWidth="1"/>
    <col min="57" max="57" width="4.7109375" style="124" customWidth="1"/>
    <col min="58" max="58" width="21.5703125" style="124" customWidth="1"/>
    <col min="59" max="59" width="18.7109375" style="124" customWidth="1"/>
    <col min="60" max="60" width="9.140625" style="124"/>
    <col min="61" max="61" width="6.42578125" style="124" customWidth="1"/>
    <col min="62" max="63" width="9.140625" style="124"/>
    <col min="64" max="64" width="6" style="124" customWidth="1"/>
    <col min="65" max="66" width="9.140625" style="124"/>
    <col min="67" max="67" width="4.140625" style="124" customWidth="1"/>
    <col min="68" max="68" width="4.7109375" style="124" customWidth="1"/>
    <col min="69" max="69" width="26.28515625" style="124" customWidth="1"/>
    <col min="70" max="72" width="18.7109375" style="124" customWidth="1"/>
    <col min="73" max="73" width="25.42578125" style="124" customWidth="1"/>
    <col min="74" max="74" width="17.7109375" style="124" customWidth="1"/>
    <col min="75" max="75" width="9.140625" style="124"/>
    <col min="76" max="76" width="5" style="124" customWidth="1"/>
    <col min="77" max="78" width="9.140625" style="124"/>
    <col min="79" max="79" width="7" style="124" customWidth="1"/>
    <col min="80" max="80" width="4.85546875" style="124" customWidth="1"/>
    <col min="81" max="81" width="20.85546875" style="124" customWidth="1"/>
    <col min="82" max="82" width="20.7109375" style="124" customWidth="1"/>
    <col min="83" max="83" width="23" style="124" customWidth="1"/>
    <col min="84" max="84" width="21.140625" style="124" customWidth="1"/>
    <col min="85" max="85" width="22.85546875" style="124" customWidth="1"/>
    <col min="86" max="86" width="9.140625" style="124"/>
    <col min="87" max="87" width="7" style="124" customWidth="1"/>
    <col min="88" max="88" width="4.85546875" style="124" customWidth="1"/>
    <col min="89" max="89" width="20.85546875" style="124" customWidth="1"/>
    <col min="90" max="90" width="20.7109375" style="124" customWidth="1"/>
    <col min="91" max="91" width="23" style="124" customWidth="1"/>
    <col min="92" max="92" width="21.140625" style="124" customWidth="1"/>
    <col min="93" max="93" width="22.85546875" style="124" customWidth="1"/>
    <col min="94" max="94" width="9.140625" style="124"/>
    <col min="95" max="95" width="7" style="124" customWidth="1"/>
    <col min="96" max="96" width="4.85546875" style="124" customWidth="1"/>
    <col min="97" max="97" width="20.85546875" style="124" customWidth="1"/>
    <col min="98" max="98" width="20.7109375" customWidth="1"/>
    <col min="99" max="99" width="23" customWidth="1"/>
    <col min="100" max="100" width="21.140625" customWidth="1"/>
    <col min="101" max="101" width="22.85546875" customWidth="1"/>
    <col min="102" max="102" width="13.7109375" customWidth="1"/>
    <col min="103" max="103" width="7" customWidth="1"/>
    <col min="104" max="104" width="4.85546875" customWidth="1"/>
    <col min="105" max="105" width="20.85546875" customWidth="1"/>
    <col min="106" max="106" width="20.7109375" customWidth="1"/>
    <col min="107" max="107" width="23" customWidth="1"/>
    <col min="108" max="108" width="21.140625" customWidth="1"/>
    <col min="109" max="109" width="22.85546875" customWidth="1"/>
    <col min="114" max="114" width="5.5703125" customWidth="1"/>
    <col min="119" max="119" width="6" customWidth="1"/>
    <col min="122" max="123" width="8.28515625" customWidth="1"/>
    <col min="124" max="124" width="30.140625" customWidth="1"/>
    <col min="125" max="128" width="33.28515625" customWidth="1"/>
    <col min="129" max="129" width="17.7109375" customWidth="1"/>
    <col min="131" max="131" width="5" customWidth="1"/>
    <col min="134" max="134" width="7" customWidth="1"/>
    <col min="135" max="135" width="4.85546875" customWidth="1"/>
    <col min="136" max="136" width="20.85546875" customWidth="1"/>
    <col min="137" max="137" width="20.7109375" customWidth="1"/>
    <col min="138" max="138" width="23" customWidth="1"/>
    <col min="139" max="139" width="21.140625" customWidth="1"/>
    <col min="140" max="140" width="22.85546875" customWidth="1"/>
    <col min="142" max="142" width="7" customWidth="1"/>
    <col min="143" max="143" width="4.85546875" customWidth="1"/>
    <col min="144" max="144" width="20.85546875" customWidth="1"/>
    <col min="145" max="145" width="20.7109375" customWidth="1"/>
    <col min="146" max="146" width="23" customWidth="1"/>
    <col min="147" max="147" width="21.140625" customWidth="1"/>
    <col min="148" max="148" width="22.85546875" customWidth="1"/>
    <col min="149" max="149" width="13.7109375" customWidth="1"/>
    <col min="150" max="150" width="7" customWidth="1"/>
    <col min="151" max="151" width="4.85546875" customWidth="1"/>
    <col min="152" max="152" width="20.85546875" customWidth="1"/>
    <col min="153" max="153" width="20.7109375" customWidth="1"/>
    <col min="154" max="154" width="23" customWidth="1"/>
    <col min="155" max="155" width="21.140625" customWidth="1"/>
    <col min="156" max="156" width="22.85546875" customWidth="1"/>
    <col min="161" max="161" width="5.7109375" customWidth="1"/>
  </cols>
  <sheetData>
    <row r="1" spans="1:161" x14ac:dyDescent="0.2">
      <c r="A1" s="117"/>
      <c r="B1" s="117"/>
      <c r="C1" s="117"/>
      <c r="D1" s="117"/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23"/>
      <c r="R1" s="123"/>
      <c r="S1" s="123"/>
      <c r="T1" s="123"/>
      <c r="U1" s="123"/>
      <c r="V1" s="123"/>
      <c r="W1" s="123"/>
      <c r="X1" s="123"/>
      <c r="Y1" s="123"/>
      <c r="Z1" s="123"/>
      <c r="AA1" s="123"/>
      <c r="AB1" s="123"/>
      <c r="AC1" s="123"/>
      <c r="AD1" s="123"/>
      <c r="AE1" s="123"/>
      <c r="AF1" s="123"/>
      <c r="AG1" s="123"/>
      <c r="AH1" s="123"/>
      <c r="AI1" s="123"/>
      <c r="AJ1" s="123"/>
      <c r="AK1" s="123"/>
      <c r="AL1" s="123"/>
      <c r="AM1" s="123"/>
      <c r="AN1" s="123"/>
      <c r="AO1" s="123"/>
      <c r="AP1" s="123"/>
      <c r="AQ1" s="123"/>
      <c r="AR1" s="123"/>
      <c r="AS1" s="123"/>
      <c r="AT1" s="123"/>
      <c r="AU1" s="123"/>
      <c r="AV1" s="123"/>
      <c r="BI1" s="123"/>
      <c r="CT1" s="124"/>
      <c r="CU1" s="124"/>
      <c r="CV1" s="124"/>
      <c r="CW1" s="124"/>
      <c r="CX1" s="124"/>
      <c r="CY1" s="124"/>
      <c r="CZ1" s="124"/>
      <c r="DA1" s="124"/>
      <c r="DB1" s="124"/>
      <c r="DC1" s="124"/>
      <c r="DD1" s="124"/>
      <c r="DE1" s="124"/>
      <c r="DF1" s="124"/>
      <c r="DG1" s="124"/>
      <c r="DH1" s="124"/>
      <c r="DI1" s="124"/>
      <c r="DJ1" s="124"/>
      <c r="DK1" s="124"/>
      <c r="DL1" s="124"/>
      <c r="DM1" s="124"/>
      <c r="DN1" s="124"/>
      <c r="DO1" s="124"/>
      <c r="DP1" s="124"/>
      <c r="DQ1" s="124"/>
      <c r="DR1" s="124"/>
      <c r="DS1" s="124"/>
      <c r="DT1" s="124"/>
      <c r="DU1" s="124"/>
      <c r="DV1" s="124"/>
      <c r="DW1" s="124"/>
      <c r="DX1" s="124"/>
      <c r="DY1" s="124"/>
      <c r="DZ1" s="124"/>
      <c r="EA1" s="124"/>
      <c r="EB1" s="124"/>
      <c r="EC1" s="124"/>
      <c r="ED1" s="124"/>
      <c r="EE1" s="124"/>
      <c r="EF1" s="124"/>
      <c r="EG1" s="124"/>
      <c r="EH1" s="124"/>
      <c r="EI1" s="124"/>
      <c r="EJ1" s="124"/>
      <c r="EK1" s="124"/>
      <c r="EL1" s="124"/>
      <c r="EM1" s="124"/>
      <c r="EN1" s="124"/>
      <c r="EO1" s="124"/>
      <c r="EP1" s="124"/>
      <c r="EQ1" s="124"/>
      <c r="ER1" s="124"/>
      <c r="ES1" s="124"/>
      <c r="ET1" s="124"/>
      <c r="EU1" s="124"/>
      <c r="EV1" s="124"/>
      <c r="EW1" s="124"/>
      <c r="EX1" s="124"/>
      <c r="EY1" s="124"/>
      <c r="EZ1" s="124"/>
      <c r="FA1" s="124"/>
      <c r="FB1" s="124"/>
      <c r="FC1" s="124"/>
      <c r="FD1" s="124"/>
      <c r="FE1" s="124"/>
    </row>
    <row r="2" spans="1:161" x14ac:dyDescent="0.2">
      <c r="A2" s="117"/>
      <c r="B2" s="117"/>
      <c r="C2" s="117"/>
      <c r="D2" s="117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117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BI2" s="123"/>
      <c r="CT2" s="124"/>
      <c r="CU2" s="124"/>
      <c r="CV2" s="124"/>
      <c r="CW2" s="124"/>
      <c r="CX2" s="124"/>
      <c r="CY2" s="124"/>
      <c r="CZ2" s="124"/>
      <c r="DA2" s="124"/>
      <c r="DB2" s="124"/>
      <c r="DC2" s="124"/>
      <c r="DD2" s="124"/>
      <c r="DE2" s="124"/>
      <c r="DF2" s="124"/>
      <c r="DG2" s="124"/>
      <c r="DH2" s="124"/>
      <c r="DI2" s="124"/>
      <c r="DJ2" s="124"/>
      <c r="DK2" s="124"/>
      <c r="DL2" s="124"/>
      <c r="DM2" s="124"/>
      <c r="DN2" s="124"/>
      <c r="DO2" s="124"/>
      <c r="DP2" s="124"/>
      <c r="DQ2" s="124"/>
      <c r="DR2" s="124"/>
      <c r="DS2" s="124"/>
      <c r="DT2" s="124"/>
      <c r="DU2" s="124"/>
      <c r="DV2" s="124"/>
      <c r="DW2" s="124"/>
      <c r="DX2" s="124"/>
      <c r="DY2" s="124"/>
      <c r="DZ2" s="124"/>
      <c r="EA2" s="124"/>
      <c r="EB2" s="124"/>
      <c r="EC2" s="124"/>
      <c r="ED2" s="124"/>
      <c r="EE2" s="124"/>
      <c r="EF2" s="124"/>
      <c r="EG2" s="124"/>
      <c r="EH2" s="124"/>
      <c r="EI2" s="124"/>
      <c r="EJ2" s="124"/>
      <c r="EK2" s="124"/>
      <c r="EL2" s="124"/>
      <c r="EM2" s="124"/>
      <c r="EN2" s="124"/>
      <c r="EO2" s="124"/>
      <c r="EP2" s="124"/>
      <c r="EQ2" s="124"/>
      <c r="ER2" s="124"/>
      <c r="ES2" s="124"/>
      <c r="ET2" s="124"/>
      <c r="EU2" s="124"/>
      <c r="EV2" s="124"/>
      <c r="EW2" s="124"/>
      <c r="EX2" s="124"/>
      <c r="EY2" s="124"/>
      <c r="EZ2" s="124"/>
      <c r="FA2" s="124"/>
      <c r="FB2" s="124"/>
      <c r="FC2" s="124"/>
      <c r="FD2" s="124"/>
      <c r="FE2" s="124"/>
    </row>
    <row r="3" spans="1:161" ht="20.25" x14ac:dyDescent="0.3">
      <c r="A3" s="87"/>
      <c r="B3" s="110" t="s">
        <v>115</v>
      </c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125"/>
      <c r="R3" s="125"/>
      <c r="S3" s="125"/>
      <c r="T3" s="125"/>
      <c r="U3" s="125"/>
      <c r="V3" s="125"/>
      <c r="W3" s="125"/>
      <c r="X3" s="125"/>
      <c r="Y3" s="125"/>
      <c r="Z3" s="125"/>
      <c r="AA3" s="125"/>
      <c r="AB3" s="125"/>
      <c r="AC3" s="125"/>
      <c r="AD3" s="125"/>
      <c r="AE3" s="125"/>
      <c r="AF3" s="125"/>
      <c r="AG3" s="125"/>
      <c r="AH3" s="125"/>
      <c r="AI3" s="125"/>
      <c r="BI3" s="125"/>
      <c r="CT3" s="124"/>
      <c r="CU3" s="124"/>
      <c r="CV3" s="124"/>
      <c r="CW3" s="124"/>
      <c r="CX3" s="124"/>
      <c r="CY3" s="124"/>
      <c r="CZ3" s="124"/>
      <c r="DA3" s="124"/>
      <c r="DB3" s="124"/>
      <c r="DC3" s="124"/>
      <c r="DD3" s="124"/>
      <c r="DE3" s="124"/>
      <c r="DF3" s="124"/>
      <c r="DG3" s="124"/>
      <c r="DH3" s="124"/>
      <c r="DI3" s="124"/>
      <c r="DJ3" s="124"/>
      <c r="DK3" s="124"/>
      <c r="DL3" s="124"/>
      <c r="DM3" s="124"/>
      <c r="DN3" s="124"/>
      <c r="DO3" s="124"/>
      <c r="DP3" s="124"/>
      <c r="DQ3" s="124"/>
      <c r="DR3" s="124"/>
      <c r="DS3" s="124"/>
      <c r="DT3" s="124"/>
      <c r="DU3" s="124"/>
      <c r="DV3" s="124"/>
      <c r="DW3" s="124"/>
      <c r="DX3" s="124"/>
      <c r="DY3" s="124"/>
      <c r="DZ3" s="124"/>
      <c r="EA3" s="124"/>
      <c r="EB3" s="124"/>
      <c r="EC3" s="124"/>
      <c r="ED3" s="124"/>
      <c r="EE3" s="124"/>
      <c r="EF3" s="124"/>
      <c r="EG3" s="124"/>
      <c r="EH3" s="124"/>
      <c r="EI3" s="124"/>
      <c r="EJ3" s="124"/>
      <c r="EK3" s="124"/>
      <c r="EL3" s="124"/>
      <c r="EM3" s="124"/>
      <c r="EN3" s="124"/>
      <c r="EO3" s="124"/>
      <c r="EP3" s="124"/>
      <c r="EQ3" s="124"/>
      <c r="ER3" s="124"/>
      <c r="ES3" s="124"/>
      <c r="ET3" s="124"/>
      <c r="EU3" s="124"/>
      <c r="EV3" s="124"/>
      <c r="EW3" s="124"/>
      <c r="EX3" s="124"/>
      <c r="EY3" s="124"/>
      <c r="EZ3" s="124"/>
      <c r="FA3" s="124"/>
      <c r="FB3" s="124"/>
      <c r="FC3" s="124"/>
      <c r="FD3" s="124"/>
      <c r="FE3" s="124"/>
    </row>
    <row r="4" spans="1:161" x14ac:dyDescent="0.2">
      <c r="A4" s="117"/>
      <c r="B4" s="117"/>
      <c r="C4" s="117"/>
      <c r="D4" s="117"/>
      <c r="E4" s="117"/>
      <c r="F4" s="117"/>
      <c r="G4" s="117"/>
      <c r="H4" s="117"/>
      <c r="I4" s="117"/>
      <c r="J4" s="117"/>
      <c r="K4" s="117"/>
      <c r="L4" s="117"/>
      <c r="M4" s="117"/>
      <c r="N4" s="117"/>
      <c r="O4" s="117"/>
      <c r="P4" s="117"/>
      <c r="Q4" s="123"/>
      <c r="R4" s="123"/>
      <c r="S4" s="123"/>
      <c r="T4" s="123"/>
      <c r="U4" s="123"/>
      <c r="V4" s="123"/>
      <c r="W4" s="123"/>
      <c r="X4" s="123"/>
      <c r="Y4" s="123"/>
      <c r="Z4" s="123"/>
      <c r="AA4" s="123"/>
      <c r="AB4" s="123"/>
      <c r="AC4" s="123"/>
      <c r="AD4" s="123"/>
      <c r="AE4" s="123"/>
      <c r="AF4" s="123"/>
      <c r="AG4" s="123"/>
      <c r="AH4" s="123"/>
      <c r="AI4" s="123"/>
      <c r="BI4" s="123"/>
      <c r="CT4" s="124"/>
      <c r="CU4" s="124"/>
      <c r="CV4" s="124"/>
      <c r="CW4" s="124"/>
      <c r="CX4" s="124"/>
      <c r="CY4" s="124"/>
      <c r="CZ4" s="124"/>
      <c r="DA4" s="124"/>
      <c r="DB4" s="124"/>
      <c r="DC4" s="124"/>
      <c r="DD4" s="124"/>
      <c r="DE4" s="124"/>
      <c r="DF4" s="124"/>
      <c r="DG4" s="124"/>
      <c r="DH4" s="124"/>
      <c r="DI4" s="124"/>
      <c r="DJ4" s="124"/>
      <c r="DK4" s="124"/>
      <c r="DL4" s="124"/>
      <c r="DM4" s="124"/>
      <c r="DN4" s="124"/>
      <c r="DO4" s="124"/>
      <c r="DP4" s="124"/>
      <c r="DQ4" s="124"/>
      <c r="DR4" s="124"/>
      <c r="DS4" s="124"/>
      <c r="DT4" s="124"/>
      <c r="DU4" s="124"/>
      <c r="DV4" s="124"/>
      <c r="DW4" s="124"/>
      <c r="DX4" s="124"/>
      <c r="DY4" s="124"/>
      <c r="DZ4" s="124"/>
      <c r="EA4" s="124"/>
      <c r="EB4" s="124"/>
      <c r="EC4" s="124"/>
      <c r="ED4" s="124"/>
      <c r="EE4" s="124"/>
      <c r="EF4" s="124"/>
      <c r="EG4" s="124"/>
      <c r="EH4" s="124"/>
      <c r="EI4" s="124"/>
      <c r="EJ4" s="124"/>
      <c r="EK4" s="124"/>
      <c r="EL4" s="124"/>
      <c r="EM4" s="124"/>
      <c r="EN4" s="124"/>
      <c r="EO4" s="124"/>
      <c r="EP4" s="124"/>
      <c r="EQ4" s="124"/>
      <c r="ER4" s="124"/>
      <c r="ES4" s="124"/>
      <c r="ET4" s="124"/>
      <c r="EU4" s="124"/>
      <c r="EV4" s="124"/>
      <c r="EW4" s="124"/>
      <c r="EX4" s="124"/>
      <c r="EY4" s="124"/>
      <c r="EZ4" s="124"/>
      <c r="FA4" s="124"/>
      <c r="FB4" s="124"/>
      <c r="FC4" s="124"/>
      <c r="FD4" s="124"/>
      <c r="FE4" s="124"/>
    </row>
    <row r="5" spans="1:161" s="55" customFormat="1" x14ac:dyDescent="0.2">
      <c r="A5" s="117"/>
      <c r="B5" s="117"/>
      <c r="C5" s="117"/>
      <c r="D5" s="117"/>
      <c r="E5" s="117"/>
      <c r="F5" s="117"/>
      <c r="G5" s="117"/>
      <c r="H5" s="117"/>
      <c r="I5" s="117"/>
      <c r="J5" s="117"/>
      <c r="K5" s="117"/>
      <c r="L5" s="117"/>
      <c r="M5" s="117"/>
      <c r="N5" s="117"/>
      <c r="O5" s="117"/>
      <c r="P5" s="117"/>
      <c r="Q5" s="117"/>
      <c r="R5" s="117"/>
      <c r="S5" s="117"/>
      <c r="T5" s="117"/>
      <c r="U5" s="117"/>
      <c r="V5" s="117"/>
      <c r="W5" s="117"/>
      <c r="X5" s="117"/>
      <c r="Y5" s="117"/>
      <c r="Z5" s="117"/>
      <c r="AA5" s="117"/>
      <c r="AB5" s="117"/>
      <c r="AC5" s="117"/>
      <c r="AD5" s="117"/>
      <c r="AE5" s="117"/>
      <c r="AF5" s="117"/>
      <c r="AG5" s="117"/>
      <c r="AH5" s="117"/>
      <c r="AI5" s="117"/>
      <c r="AJ5" s="117"/>
      <c r="AK5" s="117"/>
      <c r="AL5" s="117"/>
      <c r="AM5" s="117"/>
      <c r="AN5" s="117"/>
      <c r="AO5" s="117"/>
      <c r="AP5" s="117"/>
      <c r="AQ5" s="117"/>
      <c r="AR5" s="117"/>
      <c r="AS5" s="117"/>
      <c r="AT5" s="117"/>
      <c r="AU5" s="117"/>
      <c r="AV5" s="117"/>
      <c r="AW5" s="117"/>
      <c r="AX5" s="117"/>
      <c r="AY5" s="117"/>
      <c r="AZ5" s="117"/>
      <c r="BA5" s="117"/>
      <c r="BB5" s="117"/>
      <c r="BC5" s="117"/>
      <c r="BD5" s="117"/>
      <c r="BE5" s="117"/>
      <c r="BF5" s="117"/>
      <c r="BG5" s="117"/>
      <c r="BH5" s="117"/>
      <c r="BI5" s="117"/>
      <c r="BJ5" s="117"/>
      <c r="BK5" s="117"/>
      <c r="BL5" s="117"/>
      <c r="BM5" s="117"/>
      <c r="BN5" s="117"/>
      <c r="BO5" s="117"/>
      <c r="BP5" s="117"/>
      <c r="BQ5" s="117"/>
      <c r="BR5" s="117"/>
      <c r="BS5" s="117"/>
      <c r="BT5" s="117"/>
      <c r="BU5" s="117"/>
      <c r="BV5" s="117"/>
      <c r="BW5" s="117"/>
      <c r="BX5" s="117"/>
      <c r="BY5" s="117"/>
      <c r="BZ5" s="117"/>
      <c r="CA5" s="117"/>
      <c r="CB5" s="117"/>
      <c r="CC5" s="117"/>
      <c r="CD5" s="117"/>
      <c r="CE5" s="117"/>
      <c r="CF5" s="117"/>
      <c r="CG5" s="117"/>
      <c r="CH5" s="117"/>
      <c r="CI5" s="117"/>
      <c r="CJ5" s="117"/>
      <c r="CK5" s="117"/>
      <c r="CL5" s="117"/>
      <c r="CM5" s="117"/>
      <c r="CN5" s="117"/>
      <c r="CO5" s="117"/>
      <c r="CP5" s="117"/>
      <c r="CQ5" s="117"/>
      <c r="CR5" s="117"/>
      <c r="CS5" s="117"/>
      <c r="CT5" s="117"/>
      <c r="CU5" s="117"/>
      <c r="CV5" s="117"/>
      <c r="CW5" s="117"/>
      <c r="CX5" s="117"/>
      <c r="CY5" s="117"/>
      <c r="CZ5" s="117"/>
      <c r="DA5" s="117"/>
      <c r="DB5" s="117"/>
      <c r="DC5" s="117"/>
      <c r="DD5" s="117"/>
      <c r="DE5" s="117"/>
      <c r="DF5" s="117"/>
      <c r="DG5" s="117"/>
      <c r="DH5" s="117"/>
      <c r="DI5" s="117"/>
      <c r="DJ5" s="117"/>
      <c r="DK5" s="117"/>
      <c r="DL5" s="117"/>
      <c r="DM5" s="117"/>
      <c r="DN5" s="117"/>
      <c r="DO5" s="117"/>
      <c r="DP5" s="117"/>
      <c r="DQ5" s="117"/>
      <c r="DR5" s="117"/>
      <c r="DS5" s="117"/>
      <c r="DT5" s="117"/>
      <c r="DU5" s="117"/>
      <c r="DV5" s="117"/>
      <c r="DW5" s="117"/>
      <c r="DX5" s="117"/>
      <c r="DY5" s="117"/>
      <c r="DZ5" s="117"/>
      <c r="EA5" s="117"/>
      <c r="EB5" s="117"/>
      <c r="EC5" s="117"/>
      <c r="ED5" s="117"/>
      <c r="EE5" s="117"/>
      <c r="EF5" s="117"/>
      <c r="EG5" s="117"/>
      <c r="EH5" s="117"/>
      <c r="EI5" s="117"/>
      <c r="EJ5" s="117"/>
      <c r="EK5" s="117"/>
      <c r="EL5" s="117"/>
      <c r="EM5" s="117"/>
      <c r="EN5" s="117"/>
      <c r="EO5" s="117"/>
      <c r="EP5" s="117"/>
      <c r="EQ5" s="117"/>
      <c r="ER5" s="117"/>
      <c r="ES5" s="117"/>
      <c r="ET5" s="117"/>
      <c r="EU5" s="117"/>
      <c r="EV5" s="117"/>
      <c r="EW5" s="117"/>
      <c r="EX5" s="117"/>
      <c r="EY5" s="117"/>
      <c r="EZ5" s="117"/>
      <c r="FA5" s="117"/>
      <c r="FB5" s="117"/>
      <c r="FC5" s="117"/>
      <c r="FD5" s="117"/>
      <c r="FE5" s="117"/>
    </row>
    <row r="6" spans="1:161" s="55" customFormat="1" ht="17.25" customHeight="1" x14ac:dyDescent="0.2">
      <c r="A6" s="6"/>
      <c r="B6" s="118"/>
      <c r="C6" s="118"/>
      <c r="D6" s="118"/>
      <c r="E6" s="118"/>
      <c r="F6" s="118"/>
      <c r="G6" s="118"/>
      <c r="H6" s="118"/>
      <c r="I6" s="93"/>
      <c r="J6" s="118"/>
      <c r="K6" s="118"/>
      <c r="L6" s="118"/>
      <c r="M6" s="118"/>
      <c r="N6" s="118"/>
      <c r="O6" s="118"/>
      <c r="P6" s="6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  <c r="AT6" s="39"/>
      <c r="AU6" s="39"/>
      <c r="AV6" s="39"/>
      <c r="AW6" s="39"/>
      <c r="AX6" s="39"/>
      <c r="AY6" s="39"/>
      <c r="AZ6" s="39"/>
      <c r="BA6" s="39"/>
      <c r="BB6" s="39"/>
      <c r="BC6" s="39"/>
      <c r="BD6" s="39"/>
      <c r="BE6" s="39"/>
      <c r="BF6" s="39"/>
      <c r="BG6" s="6"/>
      <c r="BH6" s="6"/>
      <c r="BI6" s="39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  <c r="EA6" s="6"/>
      <c r="EB6" s="6"/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/>
      <c r="FA6" s="6"/>
      <c r="FB6" s="6"/>
      <c r="FC6" s="6"/>
      <c r="FD6" s="6"/>
      <c r="FE6" s="6"/>
    </row>
    <row r="7" spans="1:161" s="55" customFormat="1" ht="17.25" customHeight="1" x14ac:dyDescent="0.2">
      <c r="A7" s="4"/>
      <c r="B7" s="89"/>
      <c r="C7" s="89"/>
      <c r="D7" s="89"/>
      <c r="E7" s="89"/>
      <c r="F7" s="89"/>
      <c r="G7" s="89"/>
      <c r="H7" s="89"/>
      <c r="I7" s="21"/>
      <c r="J7" s="89"/>
      <c r="K7" s="89"/>
      <c r="L7" s="89"/>
      <c r="M7" s="89"/>
      <c r="N7" s="89"/>
      <c r="O7" s="89"/>
      <c r="P7" s="4"/>
      <c r="Q7" s="117"/>
      <c r="R7" s="117"/>
      <c r="S7" s="117"/>
      <c r="T7" s="117"/>
      <c r="U7" s="117"/>
      <c r="V7" s="117"/>
      <c r="W7" s="117"/>
      <c r="X7" s="117"/>
      <c r="Y7" s="117"/>
      <c r="Z7" s="117"/>
      <c r="AA7" s="117"/>
      <c r="AB7" s="117"/>
      <c r="AC7" s="117"/>
      <c r="AD7" s="117"/>
      <c r="AE7" s="117"/>
      <c r="AF7" s="117"/>
      <c r="AG7" s="117"/>
      <c r="AH7" s="117"/>
      <c r="AI7" s="117"/>
      <c r="AJ7" s="117"/>
      <c r="AK7" s="117"/>
      <c r="AL7" s="117"/>
      <c r="AM7" s="117"/>
      <c r="AN7" s="117"/>
      <c r="AO7" s="117"/>
      <c r="AP7" s="117"/>
      <c r="AQ7" s="117"/>
      <c r="AR7" s="117"/>
      <c r="AS7" s="117"/>
      <c r="AT7" s="117"/>
      <c r="AU7" s="117"/>
      <c r="AV7" s="117"/>
      <c r="AW7" s="117"/>
      <c r="AX7" s="117"/>
      <c r="AY7" s="117"/>
      <c r="AZ7" s="117"/>
      <c r="BA7" s="117"/>
      <c r="BB7" s="117"/>
      <c r="BC7" s="117"/>
      <c r="BD7" s="117"/>
      <c r="BE7" s="117"/>
      <c r="BF7" s="117"/>
      <c r="BG7" s="4"/>
      <c r="BH7" s="4"/>
      <c r="BI7" s="117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</row>
    <row r="8" spans="1:161" s="55" customFormat="1" ht="17.25" customHeight="1" x14ac:dyDescent="0.2">
      <c r="A8" s="4"/>
      <c r="B8" s="57"/>
      <c r="C8" s="57"/>
      <c r="D8" s="57"/>
      <c r="E8" s="57"/>
      <c r="F8" s="57"/>
      <c r="G8" s="57"/>
      <c r="H8" s="57"/>
      <c r="I8" s="54"/>
      <c r="J8" s="96"/>
      <c r="K8" s="96"/>
      <c r="L8" s="96"/>
      <c r="M8" s="96"/>
      <c r="N8" s="96"/>
      <c r="O8" s="96"/>
      <c r="P8" s="11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117"/>
      <c r="AK8" s="117"/>
      <c r="AL8" s="117"/>
      <c r="AM8" s="117"/>
      <c r="AN8" s="117"/>
      <c r="AO8" s="117"/>
      <c r="AP8" s="117"/>
      <c r="AQ8" s="117"/>
      <c r="AR8" s="117"/>
      <c r="AS8" s="117"/>
      <c r="AT8" s="117"/>
      <c r="AU8" s="117"/>
      <c r="AV8" s="117"/>
      <c r="AW8" s="117"/>
      <c r="AX8" s="117"/>
      <c r="AY8" s="117"/>
      <c r="AZ8" s="117"/>
      <c r="BA8" s="117"/>
      <c r="BB8" s="117"/>
      <c r="BC8" s="117"/>
      <c r="BD8" s="4"/>
      <c r="BE8" s="4"/>
      <c r="BF8" s="4"/>
      <c r="BG8" s="4"/>
      <c r="BH8" s="4"/>
      <c r="BI8" s="57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</row>
    <row r="9" spans="1:161" s="55" customFormat="1" ht="17.25" customHeight="1" x14ac:dyDescent="0.2">
      <c r="A9" s="4"/>
      <c r="B9" s="4"/>
      <c r="C9" s="4"/>
      <c r="D9" s="4"/>
      <c r="E9" s="4"/>
      <c r="F9" s="4"/>
      <c r="G9" s="4"/>
      <c r="H9" s="4"/>
      <c r="I9" s="54"/>
      <c r="J9" s="96"/>
      <c r="K9" s="96"/>
      <c r="L9" s="96"/>
      <c r="M9" s="96"/>
      <c r="N9" s="96"/>
      <c r="O9" s="96"/>
      <c r="P9" s="117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117"/>
      <c r="AK9" s="117"/>
      <c r="AL9" s="117"/>
      <c r="AM9" s="117"/>
      <c r="AN9" s="117"/>
      <c r="AO9" s="117"/>
      <c r="AP9" s="117"/>
      <c r="AQ9" s="117"/>
      <c r="AR9" s="117"/>
      <c r="AS9" s="117"/>
      <c r="AT9" s="117"/>
      <c r="AU9" s="117"/>
      <c r="AV9" s="117"/>
      <c r="AW9" s="117"/>
      <c r="AX9" s="117"/>
      <c r="AY9" s="117"/>
      <c r="AZ9" s="117"/>
      <c r="BA9" s="117"/>
      <c r="BB9" s="117"/>
      <c r="BC9" s="117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</row>
    <row r="10" spans="1:161" s="55" customFormat="1" ht="17.25" customHeight="1" x14ac:dyDescent="0.2">
      <c r="A10" s="4"/>
      <c r="B10" s="57"/>
      <c r="C10" s="57"/>
      <c r="D10" s="57"/>
      <c r="E10" s="57"/>
      <c r="F10" s="57"/>
      <c r="G10" s="57"/>
      <c r="H10" s="4"/>
      <c r="I10" s="21"/>
      <c r="J10" s="57"/>
      <c r="K10" s="36"/>
      <c r="L10" s="37"/>
      <c r="M10" s="37"/>
      <c r="N10" s="37"/>
      <c r="O10" s="37"/>
      <c r="P10" s="117"/>
      <c r="Q10" s="165"/>
      <c r="R10" s="165"/>
      <c r="S10" s="165"/>
      <c r="T10" s="165"/>
      <c r="U10" s="165"/>
      <c r="V10" s="165"/>
      <c r="W10" s="165"/>
      <c r="X10" s="165"/>
      <c r="Y10" s="165"/>
      <c r="Z10" s="165"/>
      <c r="AA10" s="165"/>
      <c r="AB10" s="165"/>
      <c r="AC10" s="165"/>
      <c r="AD10" s="165"/>
      <c r="AE10" s="165"/>
      <c r="AF10" s="165"/>
      <c r="AG10" s="165"/>
      <c r="AH10" s="165"/>
      <c r="AI10" s="165"/>
      <c r="AJ10" s="117"/>
      <c r="AK10" s="117"/>
      <c r="AL10" s="117"/>
      <c r="AM10" s="117"/>
      <c r="AN10" s="117"/>
      <c r="AO10" s="117"/>
      <c r="AP10" s="117"/>
      <c r="AQ10" s="117"/>
      <c r="AR10" s="117"/>
      <c r="AS10" s="117"/>
      <c r="AT10" s="117"/>
      <c r="AU10" s="117"/>
      <c r="AV10" s="117"/>
      <c r="AW10" s="117"/>
      <c r="AX10" s="117"/>
      <c r="AY10" s="117"/>
      <c r="AZ10" s="117"/>
      <c r="BA10" s="117"/>
      <c r="BB10" s="117"/>
      <c r="BC10" s="117"/>
      <c r="BD10" s="4"/>
      <c r="BE10" s="4"/>
      <c r="BF10" s="4"/>
      <c r="BG10" s="4"/>
      <c r="BH10" s="4"/>
      <c r="BI10" s="165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</row>
    <row r="11" spans="1:161" s="55" customFormat="1" ht="17.25" customHeight="1" x14ac:dyDescent="0.2">
      <c r="A11" s="4"/>
      <c r="B11" s="4"/>
      <c r="C11" s="4"/>
      <c r="D11" s="4"/>
      <c r="E11" s="4"/>
      <c r="F11" s="4"/>
      <c r="G11" s="4"/>
      <c r="H11" s="57"/>
      <c r="I11" s="54"/>
      <c r="J11" s="96"/>
      <c r="K11" s="96"/>
      <c r="L11" s="96"/>
      <c r="M11" s="96"/>
      <c r="N11" s="96"/>
      <c r="O11" s="96"/>
      <c r="P11" s="117"/>
      <c r="Q11" s="166"/>
      <c r="R11" s="166"/>
      <c r="S11" s="166"/>
      <c r="T11" s="166"/>
      <c r="U11" s="166"/>
      <c r="V11" s="166"/>
      <c r="W11" s="166"/>
      <c r="X11" s="166"/>
      <c r="Y11" s="166"/>
      <c r="Z11" s="166"/>
      <c r="AA11" s="166"/>
      <c r="AB11" s="166"/>
      <c r="AC11" s="166"/>
      <c r="AD11" s="166"/>
      <c r="AE11" s="166"/>
      <c r="AF11" s="166"/>
      <c r="AG11" s="166"/>
      <c r="AH11" s="166"/>
      <c r="AI11" s="166"/>
      <c r="AJ11" s="117"/>
      <c r="AK11" s="117"/>
      <c r="AL11" s="117"/>
      <c r="AM11" s="117"/>
      <c r="AN11" s="117"/>
      <c r="AO11" s="117"/>
      <c r="AP11" s="117"/>
      <c r="AQ11" s="117"/>
      <c r="AR11" s="117"/>
      <c r="AS11" s="117"/>
      <c r="AT11" s="117"/>
      <c r="AU11" s="117"/>
      <c r="AV11" s="117"/>
      <c r="AW11" s="117"/>
      <c r="AX11" s="117"/>
      <c r="AY11" s="117"/>
      <c r="AZ11" s="117"/>
      <c r="BA11" s="117"/>
      <c r="BB11" s="117"/>
      <c r="BC11" s="117"/>
      <c r="BD11" s="4"/>
      <c r="BE11" s="4"/>
      <c r="BF11" s="4"/>
      <c r="BG11" s="4"/>
      <c r="BH11" s="4"/>
      <c r="BI11" s="166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</row>
    <row r="12" spans="1:161" s="55" customFormat="1" ht="17.25" customHeight="1" x14ac:dyDescent="0.2">
      <c r="A12" s="4"/>
      <c r="B12" s="57"/>
      <c r="C12" s="57"/>
      <c r="D12" s="57"/>
      <c r="E12" s="57"/>
      <c r="F12" s="57"/>
      <c r="G12" s="57"/>
      <c r="H12" s="57"/>
      <c r="I12" s="54"/>
      <c r="J12" s="96"/>
      <c r="K12" s="96"/>
      <c r="L12" s="96"/>
      <c r="M12" s="96"/>
      <c r="N12" s="96"/>
      <c r="O12" s="96"/>
      <c r="P12" s="11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  <c r="AD12" s="57"/>
      <c r="AE12" s="57"/>
      <c r="AF12" s="57"/>
      <c r="AG12" s="57"/>
      <c r="AH12" s="57"/>
      <c r="AI12" s="57"/>
      <c r="AJ12" s="117"/>
      <c r="AK12" s="117"/>
      <c r="AL12" s="117"/>
      <c r="AM12" s="117"/>
      <c r="AN12" s="117"/>
      <c r="AO12" s="117"/>
      <c r="AP12" s="117"/>
      <c r="AQ12" s="117"/>
      <c r="AR12" s="117"/>
      <c r="AS12" s="117"/>
      <c r="AT12" s="117"/>
      <c r="AU12" s="117"/>
      <c r="AV12" s="117"/>
      <c r="AW12" s="117"/>
      <c r="AX12" s="117"/>
      <c r="AY12" s="117"/>
      <c r="AZ12" s="117"/>
      <c r="BA12" s="117"/>
      <c r="BB12" s="117"/>
      <c r="BC12" s="117"/>
      <c r="BD12" s="4"/>
      <c r="BE12" s="4"/>
      <c r="BF12" s="4"/>
      <c r="BG12" s="4"/>
      <c r="BH12" s="4"/>
      <c r="BI12" s="57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</row>
    <row r="13" spans="1:161" s="55" customFormat="1" ht="17.25" customHeight="1" x14ac:dyDescent="0.2">
      <c r="A13" s="4"/>
      <c r="B13" s="4"/>
      <c r="C13" s="4"/>
      <c r="D13" s="4"/>
      <c r="E13" s="4"/>
      <c r="F13" s="4"/>
      <c r="G13" s="4"/>
      <c r="H13" s="57"/>
      <c r="I13" s="21"/>
      <c r="J13" s="96"/>
      <c r="K13" s="96"/>
      <c r="L13" s="96"/>
      <c r="M13" s="96"/>
      <c r="N13" s="96"/>
      <c r="O13" s="96"/>
      <c r="P13" s="117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117"/>
      <c r="AK13" s="117"/>
      <c r="AL13" s="117"/>
      <c r="AM13" s="117"/>
      <c r="AN13" s="117"/>
      <c r="AO13" s="117"/>
      <c r="AP13" s="117"/>
      <c r="AQ13" s="117"/>
      <c r="AR13" s="117"/>
      <c r="AS13" s="117"/>
      <c r="AT13" s="117"/>
      <c r="AU13" s="117"/>
      <c r="AV13" s="117"/>
      <c r="AW13" s="117"/>
      <c r="AX13" s="117"/>
      <c r="AY13" s="117"/>
      <c r="AZ13" s="117"/>
      <c r="BA13" s="117"/>
      <c r="BB13" s="117"/>
      <c r="BC13" s="117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</row>
    <row r="14" spans="1:161" s="55" customFormat="1" ht="17.25" customHeight="1" x14ac:dyDescent="0.2">
      <c r="A14" s="4"/>
      <c r="B14" s="57"/>
      <c r="C14" s="57"/>
      <c r="D14" s="57"/>
      <c r="E14" s="57"/>
      <c r="F14" s="57"/>
      <c r="G14" s="57"/>
      <c r="H14" s="4"/>
      <c r="I14" s="4"/>
      <c r="J14" s="96"/>
      <c r="K14" s="96"/>
      <c r="L14" s="96"/>
      <c r="M14" s="96"/>
      <c r="N14" s="96"/>
      <c r="O14" s="96"/>
      <c r="P14" s="11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117"/>
      <c r="AK14" s="117"/>
      <c r="AL14" s="117"/>
      <c r="AM14" s="117"/>
      <c r="AN14" s="117"/>
      <c r="AO14" s="117"/>
      <c r="AP14" s="117"/>
      <c r="AQ14" s="117"/>
      <c r="AR14" s="117"/>
      <c r="AS14" s="117"/>
      <c r="AT14" s="117"/>
      <c r="AU14" s="117"/>
      <c r="AV14" s="117"/>
      <c r="AW14" s="117"/>
      <c r="AX14" s="117"/>
      <c r="AY14" s="117"/>
      <c r="AZ14" s="117"/>
      <c r="BA14" s="117"/>
      <c r="BB14" s="117"/>
      <c r="BC14" s="117"/>
      <c r="BD14" s="4"/>
      <c r="BE14" s="4"/>
      <c r="BF14" s="4"/>
      <c r="BG14" s="4"/>
      <c r="BH14" s="4"/>
      <c r="BI14" s="57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</row>
    <row r="15" spans="1:161" s="55" customFormat="1" ht="17.25" customHeight="1" x14ac:dyDescent="0.2">
      <c r="A15" s="4"/>
      <c r="B15" s="57"/>
      <c r="C15" s="57"/>
      <c r="D15" s="57"/>
      <c r="E15" s="57"/>
      <c r="F15" s="57"/>
      <c r="G15" s="57"/>
      <c r="H15" s="4"/>
      <c r="I15" s="4"/>
      <c r="J15" s="4"/>
      <c r="K15" s="57"/>
      <c r="L15" s="57"/>
      <c r="M15" s="57"/>
      <c r="N15" s="57"/>
      <c r="O15" s="117"/>
      <c r="P15" s="117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117"/>
      <c r="AK15" s="117"/>
      <c r="AL15" s="117"/>
      <c r="AM15" s="117"/>
      <c r="AN15" s="117"/>
      <c r="AO15" s="117"/>
      <c r="AP15" s="117"/>
      <c r="AQ15" s="117"/>
      <c r="AR15" s="117"/>
      <c r="AS15" s="117"/>
      <c r="AT15" s="117"/>
      <c r="AU15" s="117"/>
      <c r="AV15" s="117"/>
      <c r="AW15" s="117"/>
      <c r="AX15" s="117"/>
      <c r="AY15" s="117"/>
      <c r="AZ15" s="117"/>
      <c r="BA15" s="117"/>
      <c r="BB15" s="117"/>
      <c r="BC15" s="117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</row>
    <row r="16" spans="1:161" s="55" customFormat="1" ht="17.25" customHeight="1" x14ac:dyDescent="0.2">
      <c r="A16" s="4"/>
      <c r="B16" s="57"/>
      <c r="C16" s="57"/>
      <c r="D16" s="57"/>
      <c r="E16" s="57"/>
      <c r="F16" s="57"/>
      <c r="G16" s="57"/>
      <c r="H16" s="120"/>
      <c r="I16" s="54"/>
      <c r="J16" s="96"/>
      <c r="K16" s="96"/>
      <c r="L16" s="96"/>
      <c r="M16" s="96"/>
      <c r="N16" s="96"/>
      <c r="O16" s="96"/>
      <c r="P16" s="11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117"/>
      <c r="AK16" s="117"/>
      <c r="AL16" s="117"/>
      <c r="AM16" s="117"/>
      <c r="AN16" s="117"/>
      <c r="AO16" s="117"/>
      <c r="AP16" s="117"/>
      <c r="AQ16" s="117"/>
      <c r="AR16" s="117"/>
      <c r="AS16" s="117"/>
      <c r="AT16" s="117"/>
      <c r="AU16" s="117"/>
      <c r="AV16" s="117"/>
      <c r="AW16" s="117"/>
      <c r="AX16" s="117"/>
      <c r="AY16" s="117"/>
      <c r="AZ16" s="117"/>
      <c r="BA16" s="117"/>
      <c r="BB16" s="117"/>
      <c r="BC16" s="117"/>
      <c r="BD16" s="4"/>
      <c r="BE16" s="4"/>
      <c r="BF16" s="4"/>
      <c r="BG16" s="4"/>
      <c r="BH16" s="4"/>
      <c r="BI16" s="57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</row>
    <row r="17" spans="1:161" s="55" customFormat="1" ht="17.25" customHeight="1" x14ac:dyDescent="0.2">
      <c r="A17" s="4"/>
      <c r="B17" s="4"/>
      <c r="C17" s="4"/>
      <c r="D17" s="4"/>
      <c r="E17" s="4"/>
      <c r="F17" s="4"/>
      <c r="G17" s="4"/>
      <c r="H17" s="120"/>
      <c r="I17" s="54"/>
      <c r="J17" s="96"/>
      <c r="K17" s="96"/>
      <c r="L17" s="96"/>
      <c r="M17" s="96"/>
      <c r="N17" s="96"/>
      <c r="O17" s="96"/>
      <c r="P17" s="117"/>
      <c r="Q17" s="122"/>
      <c r="R17" s="122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  <c r="AH17" s="122"/>
      <c r="AI17" s="122"/>
      <c r="AJ17" s="117"/>
      <c r="AK17" s="117"/>
      <c r="AL17" s="117"/>
      <c r="AM17" s="117"/>
      <c r="AN17" s="117"/>
      <c r="AO17" s="117"/>
      <c r="AP17" s="117"/>
      <c r="AQ17" s="117"/>
      <c r="AR17" s="117"/>
      <c r="AS17" s="117"/>
      <c r="AT17" s="117"/>
      <c r="AU17" s="117"/>
      <c r="AV17" s="117"/>
      <c r="AW17" s="117"/>
      <c r="AX17" s="117"/>
      <c r="AY17" s="117"/>
      <c r="AZ17" s="117"/>
      <c r="BA17" s="117"/>
      <c r="BB17" s="117"/>
      <c r="BC17" s="117"/>
      <c r="BD17" s="4"/>
      <c r="BE17" s="4"/>
      <c r="BF17" s="4"/>
      <c r="BG17" s="4"/>
      <c r="BH17" s="4"/>
      <c r="BI17" s="122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</row>
    <row r="18" spans="1:161" s="55" customFormat="1" ht="17.25" customHeight="1" x14ac:dyDescent="0.2">
      <c r="A18" s="4"/>
      <c r="B18" s="57"/>
      <c r="C18" s="57"/>
      <c r="D18" s="57"/>
      <c r="E18" s="57"/>
      <c r="F18" s="57"/>
      <c r="G18" s="57"/>
      <c r="H18" s="72"/>
      <c r="I18" s="4"/>
      <c r="J18" s="96"/>
      <c r="K18" s="96"/>
      <c r="L18" s="96"/>
      <c r="M18" s="96"/>
      <c r="N18" s="96"/>
      <c r="O18" s="96"/>
      <c r="P18" s="117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117"/>
      <c r="AK18" s="117"/>
      <c r="AL18" s="117"/>
      <c r="AM18" s="117"/>
      <c r="AN18" s="117"/>
      <c r="AO18" s="117"/>
      <c r="AP18" s="117"/>
      <c r="AQ18" s="117"/>
      <c r="AR18" s="117"/>
      <c r="AS18" s="117"/>
      <c r="AT18" s="117"/>
      <c r="AU18" s="117"/>
      <c r="AV18" s="117"/>
      <c r="AW18" s="117"/>
      <c r="AX18" s="117"/>
      <c r="AY18" s="117"/>
      <c r="AZ18" s="117"/>
      <c r="BA18" s="117"/>
      <c r="BB18" s="117"/>
      <c r="BC18" s="117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</row>
    <row r="19" spans="1:161" s="55" customFormat="1" ht="17.25" customHeight="1" x14ac:dyDescent="0.2">
      <c r="A19" s="4"/>
      <c r="B19" s="40"/>
      <c r="C19" s="40"/>
      <c r="D19" s="40"/>
      <c r="E19" s="40"/>
      <c r="F19" s="40"/>
      <c r="G19" s="40"/>
      <c r="H19" s="40"/>
      <c r="I19" s="4"/>
      <c r="J19" s="4"/>
      <c r="K19" s="72"/>
      <c r="L19" s="72"/>
      <c r="M19" s="72"/>
      <c r="N19" s="72"/>
      <c r="O19" s="72"/>
      <c r="P19" s="4"/>
      <c r="Q19" s="117"/>
      <c r="R19" s="117"/>
      <c r="S19" s="117"/>
      <c r="T19" s="117"/>
      <c r="U19" s="117"/>
      <c r="V19" s="117"/>
      <c r="W19" s="117"/>
      <c r="X19" s="117"/>
      <c r="Y19" s="117"/>
      <c r="Z19" s="117"/>
      <c r="AA19" s="117"/>
      <c r="AB19" s="117"/>
      <c r="AC19" s="117"/>
      <c r="AD19" s="117"/>
      <c r="AE19" s="117"/>
      <c r="AF19" s="117"/>
      <c r="AG19" s="117"/>
      <c r="AH19" s="117"/>
      <c r="AI19" s="117"/>
      <c r="AJ19" s="117"/>
      <c r="AK19" s="117"/>
      <c r="AL19" s="117"/>
      <c r="AM19" s="117"/>
      <c r="AN19" s="117"/>
      <c r="AO19" s="117"/>
      <c r="AP19" s="117"/>
      <c r="AQ19" s="117"/>
      <c r="AR19" s="117"/>
      <c r="AS19" s="117"/>
      <c r="AT19" s="117"/>
      <c r="AU19" s="117"/>
      <c r="AV19" s="117"/>
      <c r="AW19" s="117"/>
      <c r="AX19" s="117"/>
      <c r="AY19" s="117"/>
      <c r="AZ19" s="117"/>
      <c r="BA19" s="117"/>
      <c r="BB19" s="117"/>
      <c r="BC19" s="117"/>
      <c r="BD19" s="117"/>
      <c r="BE19" s="117"/>
      <c r="BF19" s="117"/>
      <c r="BG19" s="4"/>
      <c r="BH19" s="4"/>
      <c r="BI19" s="117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</row>
    <row r="20" spans="1:161" s="55" customFormat="1" ht="17.25" customHeight="1" x14ac:dyDescent="0.2">
      <c r="A20" s="4"/>
      <c r="B20" s="40"/>
      <c r="C20" s="40"/>
      <c r="D20" s="40"/>
      <c r="E20" s="40"/>
      <c r="F20" s="40"/>
      <c r="G20" s="40"/>
      <c r="H20" s="40"/>
      <c r="I20" s="54"/>
      <c r="J20" s="121"/>
      <c r="K20" s="4"/>
      <c r="L20" s="89"/>
      <c r="M20" s="4"/>
      <c r="N20" s="117"/>
      <c r="O20" s="117"/>
      <c r="P20" s="4"/>
      <c r="Q20" s="117"/>
      <c r="R20" s="117"/>
      <c r="S20" s="117"/>
      <c r="T20" s="117"/>
      <c r="U20" s="117"/>
      <c r="V20" s="117"/>
      <c r="W20" s="117"/>
      <c r="X20" s="117"/>
      <c r="Y20" s="117"/>
      <c r="Z20" s="117"/>
      <c r="AA20" s="117"/>
      <c r="AB20" s="117"/>
      <c r="AC20" s="117"/>
      <c r="AD20" s="117"/>
      <c r="AE20" s="117"/>
      <c r="AF20" s="117"/>
      <c r="AG20" s="117"/>
      <c r="AH20" s="117"/>
      <c r="AI20" s="117"/>
      <c r="AJ20" s="117"/>
      <c r="AK20" s="117"/>
      <c r="AL20" s="117"/>
      <c r="AM20" s="117"/>
      <c r="AN20" s="117"/>
      <c r="AO20" s="117"/>
      <c r="AP20" s="117"/>
      <c r="AQ20" s="117"/>
      <c r="AR20" s="117"/>
      <c r="AS20" s="117"/>
      <c r="AT20" s="117"/>
      <c r="AU20" s="117"/>
      <c r="AV20" s="117"/>
      <c r="AW20" s="117"/>
      <c r="AX20" s="117"/>
      <c r="AY20" s="117"/>
      <c r="AZ20" s="117"/>
      <c r="BA20" s="117"/>
      <c r="BB20" s="117"/>
      <c r="BC20" s="117"/>
      <c r="BD20" s="117"/>
      <c r="BE20" s="117"/>
      <c r="BF20" s="117"/>
      <c r="BG20" s="4"/>
      <c r="BH20" s="4"/>
      <c r="BI20" s="117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</row>
    <row r="21" spans="1:161" s="55" customFormat="1" ht="17.25" customHeight="1" x14ac:dyDescent="0.2">
      <c r="A21" s="4"/>
      <c r="B21" s="40"/>
      <c r="C21" s="40"/>
      <c r="D21" s="40"/>
      <c r="E21" s="40"/>
      <c r="F21" s="40"/>
      <c r="G21" s="40"/>
      <c r="H21" s="40"/>
      <c r="I21" s="4"/>
      <c r="J21" s="4"/>
      <c r="K21" s="4"/>
      <c r="L21" s="4"/>
      <c r="M21" s="4"/>
      <c r="N21" s="4"/>
      <c r="O21" s="4"/>
      <c r="P21" s="117"/>
      <c r="Q21" s="117"/>
      <c r="R21" s="117"/>
      <c r="S21" s="117"/>
      <c r="T21" s="117"/>
      <c r="U21" s="117"/>
      <c r="V21" s="117"/>
      <c r="W21" s="117"/>
      <c r="X21" s="117"/>
      <c r="Y21" s="117"/>
      <c r="Z21" s="117"/>
      <c r="AA21" s="117"/>
      <c r="AB21" s="117"/>
      <c r="AC21" s="117"/>
      <c r="AD21" s="117"/>
      <c r="AE21" s="117"/>
      <c r="AF21" s="117"/>
      <c r="AG21" s="117"/>
      <c r="AH21" s="117"/>
      <c r="AI21" s="117"/>
      <c r="AJ21" s="117"/>
      <c r="AK21" s="117"/>
      <c r="AL21" s="117"/>
      <c r="AM21" s="117"/>
      <c r="AN21" s="117"/>
      <c r="AO21" s="117"/>
      <c r="AP21" s="117"/>
      <c r="AQ21" s="117"/>
      <c r="AR21" s="117"/>
      <c r="AS21" s="117"/>
      <c r="AT21" s="117"/>
      <c r="AU21" s="117"/>
      <c r="AV21" s="117"/>
      <c r="AW21" s="117"/>
      <c r="AX21" s="117"/>
      <c r="AY21" s="117"/>
      <c r="AZ21" s="117"/>
      <c r="BA21" s="117"/>
      <c r="BB21" s="117"/>
      <c r="BC21" s="117"/>
      <c r="BD21" s="4"/>
      <c r="BE21" s="4"/>
      <c r="BF21" s="4"/>
      <c r="BG21" s="4"/>
      <c r="BH21" s="4"/>
      <c r="BI21" s="117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</row>
    <row r="22" spans="1:161" s="55" customFormat="1" ht="18" customHeight="1" x14ac:dyDescent="0.2">
      <c r="A22" s="4"/>
      <c r="B22" s="272" t="s">
        <v>227</v>
      </c>
      <c r="C22" s="272"/>
      <c r="D22" s="272"/>
      <c r="E22" s="272"/>
      <c r="F22" s="272"/>
      <c r="G22" s="272"/>
      <c r="H22" s="102"/>
      <c r="I22" s="4"/>
      <c r="J22" s="4"/>
      <c r="K22" s="4"/>
      <c r="L22" s="4"/>
      <c r="M22" s="4"/>
      <c r="N22" s="4"/>
      <c r="O22" s="4"/>
      <c r="P22" s="4"/>
      <c r="Q22" s="117"/>
      <c r="R22" s="117"/>
      <c r="S22" s="117"/>
      <c r="T22" s="117"/>
      <c r="U22" s="117"/>
      <c r="V22" s="117"/>
      <c r="W22" s="117"/>
      <c r="X22" s="117"/>
      <c r="Y22" s="117"/>
      <c r="Z22" s="117"/>
      <c r="AA22" s="117"/>
      <c r="AB22" s="117"/>
      <c r="AC22" s="117"/>
      <c r="AD22" s="117"/>
      <c r="AE22" s="117"/>
      <c r="AF22" s="117"/>
      <c r="AG22" s="117"/>
      <c r="AH22" s="117"/>
      <c r="AI22" s="117"/>
      <c r="AJ22" s="117"/>
      <c r="AK22" s="117"/>
      <c r="AL22" s="117"/>
      <c r="AM22" s="117"/>
      <c r="AN22" s="117"/>
      <c r="AO22" s="117"/>
      <c r="AP22" s="117"/>
      <c r="AQ22" s="117"/>
      <c r="AR22" s="117"/>
      <c r="AS22" s="117"/>
      <c r="AT22" s="117"/>
      <c r="AU22" s="117"/>
      <c r="AV22" s="117"/>
      <c r="AW22" s="117"/>
      <c r="AX22" s="117"/>
      <c r="AY22" s="117"/>
      <c r="AZ22" s="117"/>
      <c r="BA22" s="117"/>
      <c r="BB22" s="117"/>
      <c r="BC22" s="117"/>
      <c r="BD22" s="117"/>
      <c r="BE22" s="117"/>
      <c r="BF22" s="117"/>
      <c r="BG22" s="4"/>
      <c r="BH22" s="4"/>
      <c r="BI22" s="117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</row>
    <row r="23" spans="1:161" s="55" customFormat="1" ht="18" customHeight="1" x14ac:dyDescent="0.2">
      <c r="A23" s="4"/>
      <c r="B23" s="272"/>
      <c r="C23" s="272"/>
      <c r="D23" s="272"/>
      <c r="E23" s="272"/>
      <c r="F23" s="272"/>
      <c r="G23" s="272"/>
      <c r="H23" s="102"/>
      <c r="I23" s="4"/>
      <c r="J23" s="4"/>
      <c r="K23" s="4"/>
      <c r="L23" s="4"/>
      <c r="M23" s="4"/>
      <c r="N23" s="4"/>
      <c r="O23" s="4"/>
      <c r="P23" s="4"/>
      <c r="Q23" s="117"/>
      <c r="R23" s="117"/>
      <c r="S23" s="117"/>
      <c r="T23" s="117"/>
      <c r="U23" s="117"/>
      <c r="V23" s="117"/>
      <c r="W23" s="117"/>
      <c r="X23" s="117"/>
      <c r="Y23" s="117"/>
      <c r="Z23" s="117"/>
      <c r="AA23" s="117"/>
      <c r="AB23" s="117"/>
      <c r="AC23" s="117"/>
      <c r="AD23" s="117"/>
      <c r="AE23" s="117"/>
      <c r="AF23" s="117"/>
      <c r="AG23" s="117"/>
      <c r="AH23" s="117"/>
      <c r="AI23" s="117"/>
      <c r="AJ23" s="117"/>
      <c r="AK23" s="117"/>
      <c r="AL23" s="117"/>
      <c r="AM23" s="117"/>
      <c r="AN23" s="117"/>
      <c r="AO23" s="117"/>
      <c r="AP23" s="117"/>
      <c r="AQ23" s="117"/>
      <c r="AR23" s="117"/>
      <c r="AS23" s="117"/>
      <c r="AT23" s="117"/>
      <c r="AU23" s="117"/>
      <c r="AV23" s="117"/>
      <c r="AW23" s="117"/>
      <c r="AX23" s="117"/>
      <c r="AY23" s="117"/>
      <c r="AZ23" s="117"/>
      <c r="BA23" s="117"/>
      <c r="BB23" s="117"/>
      <c r="BC23" s="117"/>
      <c r="BD23" s="117"/>
      <c r="BE23" s="117"/>
      <c r="BF23" s="117"/>
      <c r="BG23" s="4"/>
      <c r="BH23" s="4"/>
      <c r="BI23" s="117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</row>
    <row r="24" spans="1:161" s="55" customFormat="1" ht="18" customHeight="1" x14ac:dyDescent="0.2">
      <c r="A24" s="4"/>
      <c r="B24" s="272"/>
      <c r="C24" s="272"/>
      <c r="D24" s="272"/>
      <c r="E24" s="272"/>
      <c r="F24" s="272"/>
      <c r="G24" s="272"/>
      <c r="H24" s="102"/>
      <c r="I24" s="4"/>
      <c r="J24" s="4"/>
      <c r="K24" s="4"/>
      <c r="L24" s="4"/>
      <c r="M24" s="4"/>
      <c r="N24" s="4"/>
      <c r="O24" s="4"/>
      <c r="P24" s="117"/>
      <c r="Q24" s="117"/>
      <c r="R24" s="117"/>
      <c r="S24" s="117"/>
      <c r="T24" s="117"/>
      <c r="U24" s="117"/>
      <c r="V24" s="117"/>
      <c r="W24" s="117"/>
      <c r="X24" s="117"/>
      <c r="Y24" s="117"/>
      <c r="Z24" s="117"/>
      <c r="AA24" s="117"/>
      <c r="AB24" s="117"/>
      <c r="AC24" s="117"/>
      <c r="AD24" s="117"/>
      <c r="AE24" s="117"/>
      <c r="AF24" s="117"/>
      <c r="AG24" s="117"/>
      <c r="AH24" s="117"/>
      <c r="AI24" s="117"/>
      <c r="AJ24" s="117"/>
      <c r="AK24" s="117"/>
      <c r="AL24" s="117"/>
      <c r="AM24" s="117"/>
      <c r="AN24" s="117"/>
      <c r="AO24" s="117"/>
      <c r="AP24" s="117"/>
      <c r="AQ24" s="117"/>
      <c r="AR24" s="117"/>
      <c r="AS24" s="117"/>
      <c r="AT24" s="117"/>
      <c r="AU24" s="117"/>
      <c r="AV24" s="117"/>
      <c r="AW24" s="117"/>
      <c r="AX24" s="117"/>
      <c r="AY24" s="117"/>
      <c r="AZ24" s="117"/>
      <c r="BA24" s="117"/>
      <c r="BB24" s="117"/>
      <c r="BC24" s="117"/>
      <c r="BD24" s="4"/>
      <c r="BE24" s="4"/>
      <c r="BF24" s="4"/>
      <c r="BG24" s="4"/>
      <c r="BH24" s="4"/>
      <c r="BI24" s="117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</row>
    <row r="25" spans="1:161" s="55" customFormat="1" ht="18" customHeight="1" x14ac:dyDescent="0.2">
      <c r="A25" s="4"/>
      <c r="B25" s="272"/>
      <c r="C25" s="272"/>
      <c r="D25" s="272"/>
      <c r="E25" s="272"/>
      <c r="F25" s="272"/>
      <c r="G25" s="272"/>
      <c r="H25" s="102"/>
      <c r="I25" s="54"/>
      <c r="J25" s="121"/>
      <c r="K25" s="121"/>
      <c r="L25" s="121"/>
      <c r="M25" s="121"/>
      <c r="N25" s="121"/>
      <c r="O25" s="121"/>
      <c r="P25" s="4"/>
      <c r="Q25" s="117"/>
      <c r="R25" s="117"/>
      <c r="S25" s="117"/>
      <c r="T25" s="117"/>
      <c r="U25" s="117"/>
      <c r="V25" s="117"/>
      <c r="W25" s="117"/>
      <c r="X25" s="117"/>
      <c r="Y25" s="117"/>
      <c r="Z25" s="117"/>
      <c r="AA25" s="117"/>
      <c r="AB25" s="117"/>
      <c r="AC25" s="117"/>
      <c r="AD25" s="117"/>
      <c r="AE25" s="117"/>
      <c r="AF25" s="117"/>
      <c r="AG25" s="117"/>
      <c r="AH25" s="117"/>
      <c r="AI25" s="117"/>
      <c r="AJ25" s="117"/>
      <c r="AK25" s="117"/>
      <c r="AL25" s="117"/>
      <c r="AM25" s="117"/>
      <c r="AN25" s="117"/>
      <c r="AO25" s="117"/>
      <c r="AP25" s="117"/>
      <c r="AQ25" s="117"/>
      <c r="AR25" s="117"/>
      <c r="AS25" s="117"/>
      <c r="AT25" s="117"/>
      <c r="AU25" s="117"/>
      <c r="AV25" s="117"/>
      <c r="AW25" s="117"/>
      <c r="AX25" s="117"/>
      <c r="AY25" s="117"/>
      <c r="AZ25" s="117"/>
      <c r="BA25" s="117"/>
      <c r="BB25" s="117"/>
      <c r="BC25" s="117"/>
      <c r="BD25" s="117"/>
      <c r="BE25" s="117"/>
      <c r="BF25" s="117"/>
      <c r="BG25" s="4"/>
      <c r="BH25" s="4"/>
      <c r="BI25" s="117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</row>
    <row r="26" spans="1:161" s="55" customFormat="1" ht="18" customHeight="1" x14ac:dyDescent="0.2">
      <c r="A26" s="4"/>
      <c r="B26" s="272"/>
      <c r="C26" s="272"/>
      <c r="D26" s="272"/>
      <c r="E26" s="272"/>
      <c r="F26" s="272"/>
      <c r="G26" s="272"/>
      <c r="H26" s="102"/>
      <c r="I26" s="54"/>
      <c r="J26" s="72"/>
      <c r="K26" s="72"/>
      <c r="L26" s="72"/>
      <c r="M26" s="72"/>
      <c r="N26" s="72"/>
      <c r="O26" s="72"/>
      <c r="P26" s="4"/>
      <c r="Q26" s="117"/>
      <c r="R26" s="117"/>
      <c r="S26" s="117"/>
      <c r="T26" s="117"/>
      <c r="U26" s="117"/>
      <c r="V26" s="117"/>
      <c r="W26" s="117"/>
      <c r="X26" s="117"/>
      <c r="Y26" s="117"/>
      <c r="Z26" s="117"/>
      <c r="AA26" s="117"/>
      <c r="AB26" s="117"/>
      <c r="AC26" s="117"/>
      <c r="AD26" s="117"/>
      <c r="AE26" s="117"/>
      <c r="AF26" s="117"/>
      <c r="AG26" s="117"/>
      <c r="AH26" s="117"/>
      <c r="AI26" s="117"/>
      <c r="AJ26" s="117"/>
      <c r="AK26" s="117"/>
      <c r="AL26" s="117"/>
      <c r="AM26" s="117"/>
      <c r="AN26" s="117"/>
      <c r="AO26" s="117"/>
      <c r="AP26" s="117"/>
      <c r="AQ26" s="117"/>
      <c r="AR26" s="117"/>
      <c r="AS26" s="117"/>
      <c r="AT26" s="117"/>
      <c r="AU26" s="117"/>
      <c r="AV26" s="117"/>
      <c r="AW26" s="117"/>
      <c r="AX26" s="117"/>
      <c r="AY26" s="117"/>
      <c r="AZ26" s="117"/>
      <c r="BA26" s="117"/>
      <c r="BB26" s="117"/>
      <c r="BC26" s="117"/>
      <c r="BD26" s="117"/>
      <c r="BE26" s="117"/>
      <c r="BF26" s="117"/>
      <c r="BG26" s="4"/>
      <c r="BH26" s="4"/>
      <c r="BI26" s="117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</row>
    <row r="27" spans="1:161" s="55" customFormat="1" ht="18" customHeight="1" x14ac:dyDescent="0.25">
      <c r="A27" s="4"/>
      <c r="B27" s="272"/>
      <c r="C27" s="272"/>
      <c r="D27" s="272"/>
      <c r="E27" s="272"/>
      <c r="F27" s="272"/>
      <c r="G27" s="272"/>
      <c r="H27" s="102"/>
      <c r="I27" s="21"/>
      <c r="J27" s="38"/>
      <c r="K27" s="72"/>
      <c r="L27" s="72"/>
      <c r="M27" s="58"/>
      <c r="N27" s="58"/>
      <c r="O27" s="58"/>
      <c r="P27" s="4"/>
      <c r="Q27" s="117"/>
      <c r="R27" s="117"/>
      <c r="S27" s="117"/>
      <c r="T27" s="117"/>
      <c r="U27" s="117"/>
      <c r="V27" s="117"/>
      <c r="W27" s="117"/>
      <c r="X27" s="117"/>
      <c r="Y27" s="117"/>
      <c r="Z27" s="117"/>
      <c r="AA27" s="117"/>
      <c r="AB27" s="117"/>
      <c r="AC27" s="117"/>
      <c r="AD27" s="117"/>
      <c r="AE27" s="117"/>
      <c r="AF27" s="117"/>
      <c r="AG27" s="117"/>
      <c r="AH27" s="117"/>
      <c r="AI27" s="117"/>
      <c r="AJ27" s="117"/>
      <c r="AK27" s="117"/>
      <c r="AL27" s="117"/>
      <c r="AM27" s="117"/>
      <c r="AN27" s="117"/>
      <c r="AO27" s="117"/>
      <c r="AP27" s="117"/>
      <c r="AQ27" s="117"/>
      <c r="AR27" s="117"/>
      <c r="AS27" s="117"/>
      <c r="AT27" s="117"/>
      <c r="AU27" s="117"/>
      <c r="AV27" s="117"/>
      <c r="AW27" s="117"/>
      <c r="AX27" s="117"/>
      <c r="AY27" s="117"/>
      <c r="AZ27" s="117"/>
      <c r="BA27" s="117"/>
      <c r="BB27" s="117"/>
      <c r="BC27" s="117"/>
      <c r="BD27" s="117"/>
      <c r="BE27" s="117"/>
      <c r="BF27" s="117"/>
      <c r="BG27" s="4"/>
      <c r="BH27" s="4"/>
      <c r="BI27" s="117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</row>
    <row r="28" spans="1:161" s="55" customFormat="1" ht="21.75" customHeight="1" x14ac:dyDescent="0.25">
      <c r="A28" s="4"/>
      <c r="B28" s="272"/>
      <c r="C28" s="272"/>
      <c r="D28" s="272"/>
      <c r="E28" s="272"/>
      <c r="F28" s="272"/>
      <c r="G28" s="272"/>
      <c r="H28" s="102"/>
      <c r="I28" s="21"/>
      <c r="J28" s="38"/>
      <c r="K28" s="72"/>
      <c r="L28" s="72"/>
      <c r="M28" s="58"/>
      <c r="N28" s="58"/>
      <c r="O28" s="58"/>
      <c r="P28" s="4"/>
      <c r="Q28" s="117"/>
      <c r="R28" s="117"/>
      <c r="S28" s="117"/>
      <c r="T28" s="117"/>
      <c r="U28" s="117"/>
      <c r="V28" s="117"/>
      <c r="W28" s="117"/>
      <c r="X28" s="117"/>
      <c r="Y28" s="117"/>
      <c r="Z28" s="117"/>
      <c r="AA28" s="117"/>
      <c r="AB28" s="117"/>
      <c r="AC28" s="117"/>
      <c r="AD28" s="117"/>
      <c r="AE28" s="117"/>
      <c r="AF28" s="117"/>
      <c r="AG28" s="117"/>
      <c r="AH28" s="117"/>
      <c r="AI28" s="117"/>
      <c r="AJ28" s="117"/>
      <c r="AK28" s="117"/>
      <c r="AL28" s="117"/>
      <c r="AM28" s="117"/>
      <c r="AN28" s="117"/>
      <c r="AO28" s="117"/>
      <c r="AP28" s="117"/>
      <c r="AQ28" s="117"/>
      <c r="AR28" s="117"/>
      <c r="AS28" s="117"/>
      <c r="AT28" s="117"/>
      <c r="AU28" s="117"/>
      <c r="AV28" s="117"/>
      <c r="AW28" s="117"/>
      <c r="AX28" s="117"/>
      <c r="AY28" s="117"/>
      <c r="AZ28" s="117"/>
      <c r="BA28" s="117"/>
      <c r="BB28" s="117"/>
      <c r="BC28" s="117"/>
      <c r="BD28" s="117"/>
      <c r="BE28" s="117"/>
      <c r="BF28" s="117"/>
      <c r="BG28" s="4"/>
      <c r="BH28" s="4"/>
      <c r="BI28" s="117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</row>
    <row r="29" spans="1:161" s="55" customFormat="1" ht="6.75" customHeight="1" x14ac:dyDescent="0.25">
      <c r="A29" s="4"/>
      <c r="B29" s="102"/>
      <c r="C29" s="102"/>
      <c r="D29" s="102"/>
      <c r="E29" s="102"/>
      <c r="F29" s="102"/>
      <c r="G29" s="102"/>
      <c r="H29" s="102"/>
      <c r="I29" s="21"/>
      <c r="J29" s="38"/>
      <c r="K29" s="4"/>
      <c r="L29" s="4"/>
      <c r="M29" s="37"/>
      <c r="N29" s="37"/>
      <c r="O29" s="37"/>
      <c r="P29" s="4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17"/>
      <c r="AN29" s="117"/>
      <c r="AO29" s="117"/>
      <c r="AP29" s="117"/>
      <c r="AQ29" s="117"/>
      <c r="AR29" s="117"/>
      <c r="AS29" s="117"/>
      <c r="AT29" s="117"/>
      <c r="AU29" s="117"/>
      <c r="AV29" s="117"/>
      <c r="AW29" s="117"/>
      <c r="AX29" s="117"/>
      <c r="AY29" s="117"/>
      <c r="AZ29" s="117"/>
      <c r="BA29" s="117"/>
      <c r="BB29" s="117"/>
      <c r="BC29" s="117"/>
      <c r="BD29" s="117"/>
      <c r="BE29" s="117"/>
      <c r="BF29" s="117"/>
      <c r="BG29" s="4"/>
      <c r="BH29" s="4"/>
      <c r="BI29" s="117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</row>
    <row r="30" spans="1:161" s="55" customFormat="1" x14ac:dyDescent="0.2">
      <c r="A30" s="117"/>
      <c r="B30" s="117"/>
      <c r="C30" s="117"/>
      <c r="D30" s="117"/>
      <c r="E30" s="117"/>
      <c r="F30" s="117"/>
      <c r="G30" s="117"/>
      <c r="H30" s="117"/>
      <c r="I30" s="117"/>
      <c r="J30" s="117"/>
      <c r="K30" s="117"/>
      <c r="L30" s="117"/>
      <c r="M30" s="117"/>
      <c r="N30" s="117"/>
      <c r="O30" s="117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7"/>
      <c r="AD30" s="117"/>
      <c r="AE30" s="117"/>
      <c r="AF30" s="117"/>
      <c r="AG30" s="117"/>
      <c r="AH30" s="117"/>
      <c r="AI30" s="117"/>
      <c r="AJ30" s="117"/>
      <c r="AK30" s="117"/>
      <c r="AL30" s="117"/>
      <c r="AM30" s="117"/>
      <c r="AN30" s="117"/>
      <c r="AO30" s="117"/>
      <c r="AP30" s="117"/>
      <c r="AQ30" s="117"/>
      <c r="AR30" s="117"/>
      <c r="AS30" s="117"/>
      <c r="AT30" s="117"/>
      <c r="AU30" s="117"/>
      <c r="AV30" s="117"/>
      <c r="AW30" s="117"/>
      <c r="AX30" s="117"/>
      <c r="AY30" s="117"/>
      <c r="AZ30" s="117"/>
      <c r="BA30" s="117"/>
      <c r="BB30" s="117"/>
      <c r="BC30" s="117"/>
      <c r="BD30" s="117"/>
      <c r="BE30" s="117"/>
      <c r="BF30" s="117"/>
      <c r="BG30" s="117"/>
      <c r="BH30" s="117"/>
      <c r="BI30" s="117"/>
      <c r="BJ30" s="117"/>
      <c r="BK30" s="117"/>
      <c r="BL30" s="117"/>
      <c r="BM30" s="117"/>
      <c r="BN30" s="117"/>
      <c r="BO30" s="117"/>
      <c r="BP30" s="117"/>
      <c r="BQ30" s="117"/>
      <c r="BR30" s="117"/>
      <c r="BS30" s="117"/>
      <c r="BT30" s="117"/>
      <c r="BU30" s="117"/>
      <c r="BV30" s="117"/>
      <c r="BW30" s="117"/>
      <c r="BX30" s="117"/>
      <c r="BY30" s="117"/>
      <c r="BZ30" s="117"/>
      <c r="CA30" s="117"/>
      <c r="CB30" s="117"/>
      <c r="CC30" s="117"/>
      <c r="CD30" s="117"/>
      <c r="CE30" s="117"/>
      <c r="CF30" s="117"/>
      <c r="CG30" s="117"/>
      <c r="CH30" s="117"/>
      <c r="CI30" s="117"/>
      <c r="CJ30" s="117"/>
      <c r="CK30" s="117"/>
      <c r="CL30" s="117"/>
      <c r="CM30" s="117"/>
      <c r="CN30" s="117"/>
      <c r="CO30" s="117"/>
      <c r="CP30" s="117"/>
      <c r="CQ30" s="117"/>
      <c r="CR30" s="117"/>
      <c r="CS30" s="117"/>
      <c r="CT30" s="117"/>
      <c r="CU30" s="117"/>
      <c r="CV30" s="117"/>
      <c r="CW30" s="117"/>
      <c r="CX30" s="117"/>
      <c r="CY30" s="117"/>
      <c r="CZ30" s="117"/>
      <c r="DA30" s="117"/>
      <c r="DB30" s="117"/>
      <c r="DC30" s="117"/>
      <c r="DD30" s="117"/>
      <c r="DE30" s="117"/>
      <c r="DF30" s="117"/>
      <c r="DG30" s="117"/>
      <c r="DH30" s="117"/>
      <c r="DI30" s="117"/>
      <c r="DJ30" s="117"/>
      <c r="DK30" s="117"/>
      <c r="DL30" s="117"/>
      <c r="DM30" s="117"/>
      <c r="DN30" s="117"/>
      <c r="DO30" s="117"/>
      <c r="DP30" s="117"/>
      <c r="DQ30" s="117"/>
      <c r="DR30" s="117"/>
      <c r="DS30" s="117"/>
      <c r="DT30" s="117"/>
      <c r="DU30" s="117"/>
      <c r="DV30" s="117"/>
      <c r="DW30" s="117"/>
      <c r="DX30" s="117"/>
      <c r="DY30" s="117"/>
      <c r="DZ30" s="117"/>
      <c r="EA30" s="117"/>
      <c r="EB30" s="117"/>
      <c r="EC30" s="117"/>
      <c r="ED30" s="117"/>
      <c r="EE30" s="117"/>
      <c r="EF30" s="117"/>
      <c r="EG30" s="117"/>
      <c r="EH30" s="117"/>
      <c r="EI30" s="117"/>
      <c r="EJ30" s="117"/>
      <c r="EK30" s="117"/>
      <c r="EL30" s="117"/>
      <c r="EM30" s="117"/>
      <c r="EN30" s="117"/>
      <c r="EO30" s="117"/>
      <c r="EP30" s="117"/>
      <c r="EQ30" s="117"/>
      <c r="ER30" s="117"/>
      <c r="ES30" s="117"/>
      <c r="ET30" s="117"/>
      <c r="EU30" s="117"/>
      <c r="EV30" s="117"/>
      <c r="EW30" s="117"/>
      <c r="EX30" s="117"/>
      <c r="EY30" s="117"/>
      <c r="EZ30" s="117"/>
      <c r="FA30" s="117"/>
      <c r="FB30" s="117"/>
      <c r="FC30" s="117"/>
      <c r="FD30" s="117"/>
      <c r="FE30" s="117"/>
    </row>
    <row r="31" spans="1:161" x14ac:dyDescent="0.2">
      <c r="A31" s="55"/>
      <c r="B31" s="55"/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CT31" s="124"/>
      <c r="CU31" s="124"/>
      <c r="CV31" s="124"/>
      <c r="CW31" s="124"/>
      <c r="CX31" s="124"/>
      <c r="CY31" s="124"/>
      <c r="CZ31" s="124"/>
      <c r="DA31" s="124"/>
      <c r="DB31" s="124"/>
      <c r="DC31" s="124"/>
      <c r="DD31" s="124"/>
      <c r="DE31" s="124"/>
      <c r="DF31" s="124"/>
      <c r="DG31" s="124"/>
      <c r="DH31" s="124"/>
      <c r="DI31" s="124"/>
      <c r="DJ31" s="124"/>
      <c r="DK31" s="124"/>
      <c r="DL31" s="124"/>
      <c r="DM31" s="124"/>
      <c r="DN31" s="124"/>
      <c r="DO31" s="124"/>
      <c r="DP31" s="124"/>
      <c r="DQ31" s="124"/>
      <c r="DR31" s="124"/>
      <c r="DS31" s="124"/>
      <c r="DT31" s="124"/>
      <c r="DU31" s="124"/>
      <c r="DV31" s="124"/>
      <c r="DW31" s="124"/>
      <c r="DX31" s="124"/>
      <c r="DY31" s="124"/>
      <c r="DZ31" s="124"/>
      <c r="EA31" s="124"/>
      <c r="EB31" s="124"/>
      <c r="EC31" s="124"/>
      <c r="ED31" s="124"/>
      <c r="EE31" s="124"/>
      <c r="EF31" s="124"/>
      <c r="EG31" s="124"/>
      <c r="EH31" s="124"/>
      <c r="EI31" s="124"/>
      <c r="EJ31" s="124"/>
      <c r="EK31" s="124"/>
      <c r="EL31" s="124"/>
      <c r="EM31" s="124"/>
      <c r="EN31" s="124"/>
      <c r="EO31" s="124"/>
      <c r="EP31" s="124"/>
      <c r="EQ31" s="124"/>
      <c r="ER31" s="124"/>
      <c r="ES31" s="124"/>
      <c r="ET31" s="124"/>
      <c r="EU31" s="124"/>
      <c r="EV31" s="124"/>
      <c r="EW31" s="124"/>
      <c r="EX31" s="124"/>
      <c r="EY31" s="124"/>
      <c r="EZ31" s="124"/>
      <c r="FA31" s="124"/>
      <c r="FB31" s="124"/>
      <c r="FC31" s="124"/>
      <c r="FD31" s="124"/>
      <c r="FE31" s="124"/>
    </row>
    <row r="32" spans="1:161" x14ac:dyDescent="0.2">
      <c r="A32" s="55"/>
      <c r="B32" s="55"/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CT32" s="124"/>
      <c r="CU32" s="124"/>
      <c r="CV32" s="124"/>
      <c r="CW32" s="124"/>
      <c r="CX32" s="124"/>
      <c r="CY32" s="124"/>
      <c r="CZ32" s="124"/>
      <c r="DA32" s="124"/>
      <c r="DB32" s="124"/>
      <c r="DC32" s="124"/>
      <c r="DD32" s="124"/>
      <c r="DE32" s="124"/>
      <c r="DF32" s="124"/>
      <c r="DG32" s="124"/>
      <c r="DH32" s="124"/>
      <c r="DI32" s="124"/>
      <c r="DJ32" s="124"/>
      <c r="DK32" s="124"/>
      <c r="DL32" s="124"/>
      <c r="DM32" s="124"/>
      <c r="DN32" s="124"/>
      <c r="DO32" s="124"/>
      <c r="DP32" s="124"/>
      <c r="DQ32" s="124"/>
      <c r="DR32" s="124"/>
      <c r="DS32" s="124"/>
      <c r="DT32" s="124"/>
      <c r="DU32" s="124"/>
      <c r="DV32" s="124"/>
      <c r="DW32" s="124"/>
      <c r="DX32" s="124"/>
      <c r="DY32" s="124"/>
      <c r="DZ32" s="124"/>
      <c r="EA32" s="124"/>
      <c r="EB32" s="124"/>
      <c r="EC32" s="124"/>
      <c r="ED32" s="124"/>
      <c r="EE32" s="124"/>
      <c r="EF32" s="124"/>
      <c r="EG32" s="124"/>
      <c r="EH32" s="124"/>
      <c r="EI32" s="124"/>
      <c r="EJ32" s="124"/>
      <c r="EK32" s="124"/>
      <c r="EL32" s="124"/>
      <c r="EM32" s="124"/>
      <c r="EN32" s="124"/>
      <c r="EO32" s="124"/>
      <c r="EP32" s="124"/>
      <c r="EQ32" s="124"/>
      <c r="ER32" s="124"/>
      <c r="ES32" s="124"/>
      <c r="ET32" s="124"/>
      <c r="EU32" s="124"/>
      <c r="EV32" s="124"/>
      <c r="EW32" s="124"/>
      <c r="EX32" s="124"/>
      <c r="EY32" s="124"/>
      <c r="EZ32" s="124"/>
      <c r="FA32" s="124"/>
      <c r="FB32" s="124"/>
      <c r="FC32" s="124"/>
      <c r="FD32" s="124"/>
      <c r="FE32" s="124"/>
    </row>
    <row r="33" spans="1:161" x14ac:dyDescent="0.2">
      <c r="A33" s="55"/>
      <c r="B33" s="55"/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CT33" s="124"/>
      <c r="CU33" s="124"/>
      <c r="CV33" s="124"/>
      <c r="CW33" s="124"/>
      <c r="CX33" s="124"/>
      <c r="CY33" s="124"/>
      <c r="CZ33" s="124"/>
      <c r="DA33" s="124"/>
      <c r="DB33" s="124"/>
      <c r="DC33" s="124"/>
      <c r="DD33" s="124"/>
      <c r="DE33" s="124"/>
      <c r="DF33" s="124"/>
      <c r="DG33" s="124"/>
      <c r="DH33" s="124"/>
      <c r="DI33" s="124"/>
      <c r="DJ33" s="124"/>
      <c r="DK33" s="124"/>
      <c r="DL33" s="124"/>
      <c r="DM33" s="124"/>
      <c r="DN33" s="124"/>
      <c r="DO33" s="124"/>
      <c r="DP33" s="124"/>
      <c r="DQ33" s="124"/>
      <c r="DR33" s="124"/>
      <c r="DS33" s="124"/>
      <c r="DT33" s="124"/>
      <c r="DU33" s="124"/>
      <c r="DV33" s="124"/>
      <c r="DW33" s="124"/>
      <c r="DX33" s="124"/>
      <c r="DY33" s="124"/>
      <c r="DZ33" s="124"/>
      <c r="EA33" s="124"/>
      <c r="EB33" s="124"/>
      <c r="EC33" s="124"/>
      <c r="ED33" s="124"/>
      <c r="EE33" s="124"/>
      <c r="EF33" s="124"/>
      <c r="EG33" s="124"/>
      <c r="EH33" s="124"/>
      <c r="EI33" s="124"/>
      <c r="EJ33" s="124"/>
      <c r="EK33" s="124"/>
      <c r="EL33" s="124"/>
      <c r="EM33" s="124"/>
      <c r="EN33" s="124"/>
      <c r="EO33" s="124"/>
      <c r="EP33" s="124"/>
      <c r="EQ33" s="124"/>
      <c r="ER33" s="124"/>
      <c r="ES33" s="124"/>
      <c r="ET33" s="124"/>
      <c r="EU33" s="124"/>
      <c r="EV33" s="124"/>
      <c r="EW33" s="124"/>
      <c r="EX33" s="124"/>
      <c r="EY33" s="124"/>
      <c r="EZ33" s="124"/>
      <c r="FA33" s="124"/>
      <c r="FB33" s="124"/>
      <c r="FC33" s="124"/>
      <c r="FD33" s="124"/>
      <c r="FE33" s="124"/>
    </row>
    <row r="34" spans="1:161" x14ac:dyDescent="0.2">
      <c r="A34" s="55"/>
      <c r="B34" s="55"/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CT34" s="124"/>
      <c r="CU34" s="124"/>
      <c r="CV34" s="124"/>
      <c r="CW34" s="124"/>
      <c r="CX34" s="124"/>
      <c r="CY34" s="124"/>
      <c r="CZ34" s="124"/>
      <c r="DA34" s="124"/>
      <c r="DB34" s="124"/>
      <c r="DC34" s="124"/>
      <c r="DD34" s="124"/>
      <c r="DE34" s="124"/>
      <c r="DF34" s="124"/>
      <c r="DG34" s="124"/>
      <c r="DH34" s="124"/>
      <c r="DI34" s="124"/>
      <c r="DJ34" s="124"/>
      <c r="DK34" s="124"/>
      <c r="DL34" s="124"/>
      <c r="DM34" s="124"/>
      <c r="DN34" s="124"/>
      <c r="DO34" s="124"/>
      <c r="DP34" s="124"/>
      <c r="DQ34" s="124"/>
      <c r="DR34" s="124"/>
      <c r="DS34" s="124"/>
      <c r="DT34" s="124"/>
      <c r="DU34" s="124"/>
      <c r="DV34" s="124"/>
      <c r="DW34" s="124"/>
      <c r="DX34" s="124"/>
      <c r="DY34" s="124"/>
      <c r="DZ34" s="124"/>
      <c r="EA34" s="124"/>
      <c r="EB34" s="124"/>
      <c r="EC34" s="124"/>
      <c r="ED34" s="124"/>
      <c r="EE34" s="124"/>
      <c r="EF34" s="124"/>
      <c r="EG34" s="124"/>
      <c r="EH34" s="124"/>
      <c r="EI34" s="124"/>
      <c r="EJ34" s="124"/>
      <c r="EK34" s="124"/>
      <c r="EL34" s="124"/>
      <c r="EM34" s="124"/>
      <c r="EN34" s="124"/>
      <c r="EO34" s="124"/>
      <c r="EP34" s="124"/>
      <c r="EQ34" s="124"/>
      <c r="ER34" s="124"/>
      <c r="ES34" s="124"/>
      <c r="ET34" s="124"/>
      <c r="EU34" s="124"/>
      <c r="EV34" s="124"/>
      <c r="EW34" s="124"/>
      <c r="EX34" s="124"/>
      <c r="EY34" s="124"/>
      <c r="EZ34" s="124"/>
      <c r="FA34" s="124"/>
      <c r="FB34" s="124"/>
      <c r="FC34" s="124"/>
      <c r="FD34" s="124"/>
      <c r="FE34" s="124"/>
    </row>
    <row r="35" spans="1:161" x14ac:dyDescent="0.2">
      <c r="A35" s="55"/>
      <c r="B35" s="55"/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CT35" s="124"/>
      <c r="CU35" s="124"/>
      <c r="CV35" s="124"/>
      <c r="CW35" s="124"/>
      <c r="CX35" s="124"/>
      <c r="CY35" s="124"/>
      <c r="CZ35" s="124"/>
      <c r="DA35" s="124"/>
      <c r="DB35" s="124"/>
      <c r="DC35" s="124"/>
      <c r="DD35" s="124"/>
      <c r="DE35" s="124"/>
      <c r="DF35" s="124"/>
      <c r="DG35" s="124"/>
      <c r="DH35" s="124"/>
      <c r="DI35" s="124"/>
      <c r="DJ35" s="124"/>
      <c r="DK35" s="124"/>
      <c r="DL35" s="124"/>
      <c r="DM35" s="124"/>
      <c r="DN35" s="124"/>
      <c r="DO35" s="124"/>
      <c r="DP35" s="124"/>
      <c r="DQ35" s="124"/>
      <c r="DR35" s="124"/>
      <c r="DS35" s="124"/>
      <c r="DT35" s="124"/>
      <c r="DU35" s="124"/>
      <c r="DV35" s="124"/>
      <c r="DW35" s="124"/>
      <c r="DX35" s="124"/>
      <c r="DY35" s="124"/>
      <c r="DZ35" s="124"/>
      <c r="EA35" s="124"/>
      <c r="EB35" s="124"/>
      <c r="EC35" s="124"/>
      <c r="ED35" s="124"/>
      <c r="EE35" s="124"/>
      <c r="EF35" s="124"/>
      <c r="EG35" s="124"/>
      <c r="EH35" s="124"/>
      <c r="EI35" s="124"/>
      <c r="EJ35" s="124"/>
      <c r="EK35" s="124"/>
      <c r="EL35" s="124"/>
      <c r="EM35" s="124"/>
      <c r="EN35" s="124"/>
      <c r="EO35" s="124"/>
      <c r="EP35" s="124"/>
      <c r="EQ35" s="124"/>
      <c r="ER35" s="124"/>
      <c r="ES35" s="124"/>
      <c r="ET35" s="124"/>
      <c r="EU35" s="124"/>
      <c r="EV35" s="124"/>
      <c r="EW35" s="124"/>
      <c r="EX35" s="124"/>
      <c r="EY35" s="124"/>
      <c r="EZ35" s="124"/>
      <c r="FA35" s="124"/>
      <c r="FB35" s="124"/>
      <c r="FC35" s="124"/>
      <c r="FD35" s="124"/>
      <c r="FE35" s="124"/>
    </row>
    <row r="36" spans="1:161" x14ac:dyDescent="0.2">
      <c r="A36" s="55"/>
      <c r="B36" s="55"/>
      <c r="C36" s="55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CT36" s="124"/>
      <c r="CU36" s="124"/>
      <c r="CV36" s="124"/>
      <c r="CW36" s="124"/>
      <c r="CX36" s="124"/>
      <c r="CY36" s="124"/>
      <c r="CZ36" s="124"/>
      <c r="DA36" s="124"/>
      <c r="DB36" s="124"/>
      <c r="DC36" s="124"/>
      <c r="DD36" s="124"/>
      <c r="DE36" s="124"/>
      <c r="DF36" s="124"/>
      <c r="DG36" s="124"/>
      <c r="DH36" s="124"/>
      <c r="DI36" s="124"/>
      <c r="DJ36" s="124"/>
      <c r="DK36" s="124"/>
      <c r="DL36" s="124"/>
      <c r="DM36" s="124"/>
      <c r="DN36" s="124"/>
      <c r="DO36" s="124"/>
      <c r="DP36" s="124"/>
      <c r="DQ36" s="124"/>
      <c r="DR36" s="124"/>
      <c r="DS36" s="124"/>
      <c r="DT36" s="124"/>
      <c r="DU36" s="124"/>
      <c r="DV36" s="124"/>
      <c r="DW36" s="124"/>
      <c r="DX36" s="124"/>
      <c r="DY36" s="124"/>
      <c r="DZ36" s="124"/>
      <c r="EA36" s="124"/>
      <c r="EB36" s="124"/>
      <c r="EC36" s="124"/>
      <c r="ED36" s="124"/>
      <c r="EE36" s="124"/>
      <c r="EF36" s="124"/>
      <c r="EG36" s="124"/>
      <c r="EH36" s="124"/>
      <c r="EI36" s="124"/>
      <c r="EJ36" s="124"/>
      <c r="EK36" s="124"/>
      <c r="EL36" s="124"/>
      <c r="EM36" s="124"/>
      <c r="EN36" s="124"/>
      <c r="EO36" s="124"/>
      <c r="EP36" s="124"/>
      <c r="EQ36" s="124"/>
      <c r="ER36" s="124"/>
      <c r="ES36" s="124"/>
      <c r="ET36" s="124"/>
      <c r="EU36" s="124"/>
      <c r="EV36" s="124"/>
      <c r="EW36" s="124"/>
      <c r="EX36" s="124"/>
      <c r="EY36" s="124"/>
      <c r="EZ36" s="124"/>
      <c r="FA36" s="124"/>
      <c r="FB36" s="124"/>
      <c r="FC36" s="124"/>
      <c r="FD36" s="124"/>
      <c r="FE36" s="124"/>
    </row>
    <row r="37" spans="1:161" x14ac:dyDescent="0.2">
      <c r="A37" s="55"/>
      <c r="C37" s="55"/>
      <c r="D37" s="55"/>
      <c r="E37" s="55"/>
      <c r="F37" s="55"/>
      <c r="G37" s="55"/>
      <c r="W37" s="130"/>
      <c r="X37" s="130"/>
      <c r="Y37" s="130"/>
      <c r="Z37" s="130"/>
      <c r="AA37" s="130"/>
      <c r="AB37" s="130"/>
      <c r="AC37" s="130"/>
      <c r="AD37" s="130"/>
      <c r="AE37" s="130"/>
      <c r="AF37" s="130"/>
      <c r="AG37" s="130"/>
      <c r="AH37" s="130"/>
      <c r="AI37" s="130"/>
      <c r="AJ37" s="130"/>
      <c r="AK37" s="130"/>
      <c r="AL37" s="130"/>
      <c r="AM37" s="130"/>
      <c r="AN37" s="130"/>
      <c r="AO37" s="130"/>
      <c r="AP37" s="130"/>
      <c r="AQ37" s="130"/>
      <c r="AR37" s="130"/>
      <c r="AS37" s="130"/>
      <c r="AT37" s="130"/>
      <c r="AU37" s="130"/>
      <c r="AV37" s="130"/>
      <c r="AW37" s="130"/>
      <c r="AX37" s="130"/>
      <c r="AY37" s="130"/>
      <c r="AZ37" s="130"/>
      <c r="BA37" s="130"/>
      <c r="BB37" s="130"/>
      <c r="BC37" s="130"/>
      <c r="BD37" s="130"/>
      <c r="BE37" s="130"/>
      <c r="BF37" s="130"/>
      <c r="BG37" s="130"/>
      <c r="BH37" s="130"/>
      <c r="BI37" s="130"/>
      <c r="BJ37" s="55"/>
      <c r="BK37" s="55"/>
      <c r="BL37" s="130"/>
      <c r="BM37" s="130"/>
      <c r="BN37" s="130"/>
      <c r="BO37" s="130"/>
      <c r="BP37" s="130"/>
      <c r="BQ37" s="130"/>
      <c r="BR37" s="130"/>
      <c r="BS37" s="130"/>
      <c r="BT37" s="130"/>
      <c r="BU37" s="130"/>
      <c r="BV37" s="130"/>
      <c r="BW37" s="130"/>
      <c r="BX37" s="130"/>
      <c r="BY37" s="130"/>
      <c r="BZ37" s="130"/>
      <c r="CA37" s="130"/>
      <c r="CB37" s="130"/>
      <c r="CC37" s="130"/>
      <c r="CD37" s="130"/>
      <c r="CE37" s="130"/>
      <c r="CF37" s="130"/>
      <c r="CG37" s="130"/>
      <c r="CH37" s="130"/>
      <c r="CI37" s="130"/>
      <c r="CJ37" s="130"/>
      <c r="CK37" s="130"/>
      <c r="CL37" s="130"/>
      <c r="CM37" s="130"/>
      <c r="CN37" s="130"/>
      <c r="CO37" s="130"/>
      <c r="CP37" s="130"/>
      <c r="CQ37" s="130"/>
      <c r="CR37" s="130"/>
      <c r="CS37" s="130"/>
      <c r="CT37" s="130"/>
      <c r="CU37" s="130"/>
      <c r="CV37" s="130"/>
      <c r="CW37" s="130"/>
      <c r="CX37" s="130"/>
      <c r="CY37" s="130"/>
      <c r="CZ37" s="130"/>
      <c r="DA37" s="130"/>
      <c r="DB37" s="130"/>
      <c r="DC37" s="130"/>
      <c r="DD37" s="130"/>
      <c r="DE37" s="130"/>
      <c r="DF37" s="130"/>
      <c r="DG37" s="130"/>
      <c r="DH37" s="130"/>
      <c r="DI37" s="130"/>
      <c r="DJ37" s="130"/>
      <c r="DK37" s="55"/>
      <c r="DL37" s="55"/>
      <c r="DM37" s="55"/>
      <c r="DN37" s="55"/>
      <c r="DO37" s="130"/>
      <c r="DP37" s="130"/>
      <c r="DQ37" s="130"/>
      <c r="DR37" s="130"/>
      <c r="DS37" s="130"/>
      <c r="DT37" s="130"/>
      <c r="DU37" s="130"/>
      <c r="DV37" s="130"/>
      <c r="DW37" s="130"/>
      <c r="DX37" s="130"/>
      <c r="DY37" s="130"/>
      <c r="DZ37" s="130"/>
      <c r="EA37" s="130"/>
      <c r="EB37" s="130"/>
      <c r="EC37" s="130"/>
      <c r="ED37" s="130"/>
      <c r="EE37" s="130"/>
      <c r="EF37" s="130"/>
      <c r="EG37" s="130"/>
      <c r="EH37" s="130"/>
      <c r="EI37" s="130"/>
      <c r="EJ37" s="130"/>
      <c r="EK37" s="130"/>
      <c r="EL37" s="130"/>
      <c r="EM37" s="130"/>
      <c r="EN37" s="130"/>
      <c r="EO37" s="130"/>
      <c r="EP37" s="130"/>
      <c r="EQ37" s="130"/>
      <c r="ER37" s="130"/>
      <c r="ES37" s="130"/>
      <c r="ET37" s="130"/>
      <c r="EU37" s="130"/>
      <c r="EV37" s="130"/>
      <c r="EW37" s="130"/>
      <c r="EX37" s="130"/>
      <c r="EY37" s="130"/>
      <c r="EZ37" s="130"/>
      <c r="FA37" s="130"/>
      <c r="FB37" s="130"/>
      <c r="FC37" s="130"/>
      <c r="FD37" s="130"/>
      <c r="FE37" s="130"/>
    </row>
    <row r="38" spans="1:161" x14ac:dyDescent="0.2">
      <c r="A38" s="55"/>
      <c r="B38" s="55"/>
      <c r="C38" s="55"/>
      <c r="D38" s="55"/>
      <c r="E38" s="55"/>
      <c r="F38" s="55"/>
      <c r="G38" s="55"/>
      <c r="W38" s="130"/>
      <c r="X38" s="55"/>
      <c r="Y38" s="55"/>
      <c r="Z38" s="55"/>
      <c r="AA38" s="55"/>
      <c r="AB38" s="55"/>
      <c r="AC38" s="55"/>
      <c r="AD38" s="55"/>
      <c r="AE38" s="130"/>
      <c r="AF38" s="55"/>
      <c r="AG38" s="55"/>
      <c r="AH38" s="55"/>
      <c r="AI38" s="55"/>
      <c r="AJ38" s="55"/>
      <c r="AK38" s="55"/>
      <c r="AL38" s="55"/>
      <c r="AM38" s="55"/>
      <c r="AN38" s="55"/>
      <c r="AO38" s="55"/>
      <c r="AP38" s="55"/>
      <c r="AQ38" s="55"/>
      <c r="AR38" s="55"/>
      <c r="AS38" s="55"/>
      <c r="AT38" s="55"/>
      <c r="AU38" s="55"/>
      <c r="AV38" s="55"/>
      <c r="AW38" s="55"/>
      <c r="AX38" s="55"/>
      <c r="AY38" s="55"/>
      <c r="AZ38" s="55"/>
      <c r="BA38" s="55"/>
      <c r="BB38" s="55"/>
      <c r="BC38" s="55"/>
      <c r="BD38" s="55"/>
      <c r="BE38" s="55"/>
      <c r="BF38" s="55"/>
      <c r="BG38" s="55"/>
      <c r="BH38" s="55"/>
      <c r="BI38" s="130"/>
      <c r="BJ38" s="55"/>
      <c r="BK38" s="55"/>
      <c r="BL38" s="130"/>
      <c r="BM38" s="55"/>
      <c r="BN38" s="55"/>
      <c r="BO38" s="55"/>
      <c r="BP38" s="55"/>
      <c r="BQ38" s="55"/>
      <c r="BR38" s="55"/>
      <c r="BS38" s="55"/>
      <c r="BT38" s="55"/>
      <c r="BU38" s="55"/>
      <c r="BV38" s="55"/>
      <c r="BW38" s="55"/>
      <c r="BX38" s="130"/>
      <c r="BY38" s="55"/>
      <c r="BZ38" s="55"/>
      <c r="CA38" s="55"/>
      <c r="CB38" s="55"/>
      <c r="CC38" s="55"/>
      <c r="CD38" s="55"/>
      <c r="CE38" s="55"/>
      <c r="CF38" s="55"/>
      <c r="CG38" s="55"/>
      <c r="CH38" s="55"/>
      <c r="CI38" s="55"/>
      <c r="CJ38" s="55"/>
      <c r="CK38" s="55"/>
      <c r="CL38" s="55"/>
      <c r="CM38" s="55"/>
      <c r="CN38" s="55"/>
      <c r="CO38" s="55"/>
      <c r="CP38" s="55"/>
      <c r="CQ38" s="55"/>
      <c r="CR38" s="55"/>
      <c r="CS38" s="55"/>
      <c r="CT38" s="55"/>
      <c r="CU38" s="55"/>
      <c r="CV38" s="55"/>
      <c r="CW38" s="55"/>
      <c r="CX38" s="55"/>
      <c r="CY38" s="55"/>
      <c r="CZ38" s="55"/>
      <c r="DA38" s="55"/>
      <c r="DB38" s="55"/>
      <c r="DC38" s="55"/>
      <c r="DD38" s="55"/>
      <c r="DE38" s="55"/>
      <c r="DF38" s="55"/>
      <c r="DG38" s="55"/>
      <c r="DH38" s="55"/>
      <c r="DI38" s="55"/>
      <c r="DJ38" s="130"/>
      <c r="DK38" s="55"/>
      <c r="DL38" s="55"/>
      <c r="DM38" s="55"/>
      <c r="DN38" s="55"/>
      <c r="DO38" s="130"/>
      <c r="DP38" s="55"/>
      <c r="DQ38" s="55"/>
      <c r="DR38" s="55"/>
      <c r="DS38" s="55"/>
      <c r="DT38" s="55"/>
      <c r="DU38" s="55"/>
      <c r="DV38" s="55"/>
      <c r="DW38" s="55"/>
      <c r="DX38" s="55"/>
      <c r="DY38" s="55"/>
      <c r="DZ38" s="55"/>
      <c r="EA38" s="130"/>
      <c r="EB38" s="55"/>
      <c r="EC38" s="55"/>
      <c r="ED38" s="55"/>
      <c r="EE38" s="55"/>
      <c r="EF38" s="55"/>
      <c r="EG38" s="55"/>
      <c r="EH38" s="55"/>
      <c r="EI38" s="55"/>
      <c r="EJ38" s="55"/>
      <c r="EK38" s="55"/>
      <c r="EL38" s="55"/>
      <c r="EM38" s="55"/>
      <c r="EN38" s="55"/>
      <c r="EO38" s="55"/>
      <c r="EP38" s="55"/>
      <c r="EQ38" s="55"/>
      <c r="ER38" s="55"/>
      <c r="ES38" s="55"/>
      <c r="ET38" s="55"/>
      <c r="EU38" s="55"/>
      <c r="EV38" s="55"/>
      <c r="EW38" s="55"/>
      <c r="EX38" s="55"/>
      <c r="EY38" s="55"/>
      <c r="EZ38" s="55"/>
      <c r="FA38" s="55"/>
      <c r="FB38" s="55"/>
      <c r="FC38" s="55"/>
      <c r="FD38" s="55"/>
      <c r="FE38" s="130"/>
    </row>
    <row r="39" spans="1:161" x14ac:dyDescent="0.2">
      <c r="A39" s="55"/>
      <c r="B39" s="55"/>
      <c r="C39" s="55"/>
      <c r="D39" s="55"/>
      <c r="E39" s="55"/>
      <c r="F39" s="55"/>
      <c r="G39" s="55"/>
      <c r="W39" s="130"/>
      <c r="X39" s="55"/>
      <c r="Y39" s="55"/>
      <c r="Z39" s="55"/>
      <c r="AA39" s="55"/>
      <c r="AB39" s="55"/>
      <c r="AC39" s="55"/>
      <c r="AD39" s="55"/>
      <c r="AE39" s="130"/>
      <c r="AF39" s="55"/>
      <c r="AG39" s="55"/>
      <c r="AH39" s="55"/>
      <c r="AI39" s="55"/>
      <c r="AJ39" s="55"/>
      <c r="AK39" s="55"/>
      <c r="AL39" s="55"/>
      <c r="AM39" s="55"/>
      <c r="AN39" s="55"/>
      <c r="AO39" s="55"/>
      <c r="AP39" s="55"/>
      <c r="AQ39" s="55"/>
      <c r="AR39" s="55"/>
      <c r="AS39" s="55"/>
      <c r="AT39" s="55"/>
      <c r="AU39" s="55"/>
      <c r="AV39" s="55"/>
      <c r="AW39" s="55"/>
      <c r="AX39" s="55"/>
      <c r="AY39" s="55"/>
      <c r="AZ39" s="55"/>
      <c r="BA39" s="55"/>
      <c r="BB39" s="55"/>
      <c r="BC39" s="55"/>
      <c r="BD39" s="55"/>
      <c r="BE39" s="55"/>
      <c r="BF39" s="55"/>
      <c r="BG39" s="55"/>
      <c r="BH39" s="55"/>
      <c r="BI39" s="130"/>
      <c r="BJ39" s="55"/>
      <c r="BK39" s="55"/>
      <c r="BL39" s="130"/>
      <c r="BM39" s="55"/>
      <c r="BN39" s="55"/>
      <c r="BO39" s="55"/>
      <c r="BP39" s="55"/>
      <c r="BQ39" s="55"/>
      <c r="BR39" s="55"/>
      <c r="BS39" s="55"/>
      <c r="BT39" s="55"/>
      <c r="BU39" s="55"/>
      <c r="BV39" s="55"/>
      <c r="BW39" s="55"/>
      <c r="BX39" s="130"/>
      <c r="BY39" s="55"/>
      <c r="BZ39" s="55"/>
      <c r="CA39" s="55"/>
      <c r="CB39" s="55"/>
      <c r="CC39" s="55"/>
      <c r="CD39" s="55"/>
      <c r="CE39" s="55"/>
      <c r="CF39" s="55"/>
      <c r="CG39" s="55"/>
      <c r="CH39" s="55"/>
      <c r="CI39" s="55"/>
      <c r="CJ39" s="55"/>
      <c r="CK39" s="55"/>
      <c r="CL39" s="55"/>
      <c r="CM39" s="55"/>
      <c r="CN39" s="55"/>
      <c r="CO39" s="55"/>
      <c r="CP39" s="55"/>
      <c r="CQ39" s="55"/>
      <c r="CR39" s="55"/>
      <c r="CS39" s="55"/>
      <c r="CT39" s="55"/>
      <c r="CU39" s="55"/>
      <c r="CV39" s="55"/>
      <c r="CW39" s="55"/>
      <c r="CX39" s="55"/>
      <c r="CY39" s="55"/>
      <c r="CZ39" s="55"/>
      <c r="DA39" s="55"/>
      <c r="DB39" s="55"/>
      <c r="DC39" s="55"/>
      <c r="DD39" s="55"/>
      <c r="DE39" s="55"/>
      <c r="DF39" s="55"/>
      <c r="DG39" s="55"/>
      <c r="DH39" s="55"/>
      <c r="DI39" s="55"/>
      <c r="DJ39" s="130"/>
      <c r="DK39" s="55"/>
      <c r="DL39" s="55"/>
      <c r="DM39" s="55"/>
      <c r="DN39" s="55"/>
      <c r="DO39" s="130"/>
      <c r="DP39" s="55"/>
      <c r="DQ39" s="55"/>
      <c r="DR39" s="55"/>
      <c r="DS39" s="55"/>
      <c r="DT39" s="55"/>
      <c r="DU39" s="55"/>
      <c r="DV39" s="55"/>
      <c r="DW39" s="55"/>
      <c r="DX39" s="55"/>
      <c r="DY39" s="55"/>
      <c r="DZ39" s="55"/>
      <c r="EA39" s="130"/>
      <c r="EB39" s="55"/>
      <c r="EC39" s="55"/>
      <c r="ED39" s="55"/>
      <c r="EE39" s="55"/>
      <c r="EF39" s="55"/>
      <c r="EG39" s="55"/>
      <c r="EH39" s="55"/>
      <c r="EI39" s="55"/>
      <c r="EJ39" s="55"/>
      <c r="EK39" s="55"/>
      <c r="EL39" s="55"/>
      <c r="EM39" s="55"/>
      <c r="EN39" s="55"/>
      <c r="EO39" s="55"/>
      <c r="EP39" s="55"/>
      <c r="EQ39" s="55"/>
      <c r="ER39" s="55"/>
      <c r="ES39" s="55"/>
      <c r="ET39" s="55"/>
      <c r="EU39" s="55"/>
      <c r="EV39" s="55"/>
      <c r="EW39" s="55"/>
      <c r="EX39" s="55"/>
      <c r="EY39" s="55"/>
      <c r="EZ39" s="55"/>
      <c r="FA39" s="55"/>
      <c r="FB39" s="55"/>
      <c r="FC39" s="55"/>
      <c r="FD39" s="55"/>
      <c r="FE39" s="130"/>
    </row>
    <row r="40" spans="1:161" ht="44.25" customHeight="1" x14ac:dyDescent="0.55000000000000004">
      <c r="A40" s="55"/>
      <c r="B40" s="164" t="s">
        <v>180</v>
      </c>
      <c r="C40" s="55"/>
      <c r="D40" s="55"/>
      <c r="E40" s="55"/>
      <c r="F40" s="55"/>
      <c r="G40" s="55"/>
      <c r="W40" s="130"/>
      <c r="X40" s="55"/>
      <c r="Y40" s="131" t="s">
        <v>120</v>
      </c>
      <c r="Z40" s="127"/>
      <c r="AA40" s="127"/>
      <c r="AB40" s="127"/>
      <c r="AC40" s="127"/>
      <c r="AD40" s="55"/>
      <c r="AE40" s="130"/>
      <c r="AF40" s="55"/>
      <c r="AG40" s="126" t="s">
        <v>116</v>
      </c>
      <c r="AH40" s="127"/>
      <c r="AI40" s="127"/>
      <c r="AJ40" s="127"/>
      <c r="AK40" s="127"/>
      <c r="AL40" s="127"/>
      <c r="AM40" s="55"/>
      <c r="AN40" s="126" t="s">
        <v>117</v>
      </c>
      <c r="AO40" s="127"/>
      <c r="AP40" s="127"/>
      <c r="AQ40" s="127"/>
      <c r="AR40" s="127"/>
      <c r="AS40" s="127"/>
      <c r="AT40" s="55"/>
      <c r="AU40" s="126" t="s">
        <v>118</v>
      </c>
      <c r="AV40" s="127"/>
      <c r="AW40" s="127"/>
      <c r="AX40" s="127"/>
      <c r="AY40" s="127"/>
      <c r="AZ40" s="127"/>
      <c r="BA40" s="55"/>
      <c r="BB40" s="126" t="s">
        <v>119</v>
      </c>
      <c r="BC40" s="127"/>
      <c r="BD40" s="127"/>
      <c r="BE40" s="127"/>
      <c r="BF40" s="127"/>
      <c r="BG40" s="127"/>
      <c r="BH40" s="55"/>
      <c r="BI40" s="130"/>
      <c r="BJ40" s="55"/>
      <c r="BK40" s="55"/>
      <c r="BL40" s="130"/>
      <c r="BM40" s="55"/>
      <c r="BN40" s="55"/>
      <c r="BO40" s="131" t="s">
        <v>127</v>
      </c>
      <c r="BP40" s="127"/>
      <c r="BQ40" s="127"/>
      <c r="BR40" s="127"/>
      <c r="BS40" s="127"/>
      <c r="BT40" s="127"/>
      <c r="BU40" s="127"/>
      <c r="BV40" s="55"/>
      <c r="BW40" s="55"/>
      <c r="BX40" s="130"/>
      <c r="BY40" s="55"/>
      <c r="BZ40" s="55"/>
      <c r="CA40" s="141" t="s">
        <v>126</v>
      </c>
      <c r="CB40" s="141"/>
      <c r="CC40" s="141"/>
      <c r="CD40" s="141"/>
      <c r="CE40" s="141"/>
      <c r="CF40" s="141"/>
      <c r="CG40" s="141"/>
      <c r="CH40" s="142"/>
      <c r="CI40" s="141" t="s">
        <v>128</v>
      </c>
      <c r="CJ40" s="141"/>
      <c r="CK40" s="141"/>
      <c r="CL40" s="141"/>
      <c r="CM40" s="141"/>
      <c r="CN40" s="141"/>
      <c r="CO40" s="141"/>
      <c r="CP40" s="142"/>
      <c r="CQ40" s="141" t="s">
        <v>125</v>
      </c>
      <c r="CR40" s="141"/>
      <c r="CS40" s="141"/>
      <c r="CT40" s="141"/>
      <c r="CU40" s="141"/>
      <c r="CV40" s="141"/>
      <c r="CW40" s="141"/>
      <c r="CX40" s="142"/>
      <c r="CY40" s="141" t="s">
        <v>135</v>
      </c>
      <c r="CZ40" s="141"/>
      <c r="DA40" s="141"/>
      <c r="DB40" s="141"/>
      <c r="DC40" s="141"/>
      <c r="DD40" s="141"/>
      <c r="DE40" s="141"/>
      <c r="DF40" s="55"/>
      <c r="DG40" s="55"/>
      <c r="DH40" s="55"/>
      <c r="DI40" s="55"/>
      <c r="DJ40" s="130"/>
      <c r="DK40" s="55"/>
      <c r="DL40" s="55"/>
      <c r="DM40" s="55"/>
      <c r="DN40" s="55"/>
      <c r="DO40" s="130"/>
      <c r="DP40" s="55"/>
      <c r="DQ40" s="55"/>
      <c r="DR40" s="131" t="s">
        <v>124</v>
      </c>
      <c r="DS40" s="127"/>
      <c r="DT40" s="127"/>
      <c r="DU40" s="127"/>
      <c r="DV40" s="127"/>
      <c r="DW40" s="127"/>
      <c r="DX40" s="127"/>
      <c r="DY40" s="55"/>
      <c r="DZ40" s="55"/>
      <c r="EA40" s="130"/>
      <c r="EB40" s="55"/>
      <c r="EC40" s="55"/>
      <c r="ED40" s="141" t="s">
        <v>161</v>
      </c>
      <c r="EE40" s="141"/>
      <c r="EF40" s="141"/>
      <c r="EG40" s="141"/>
      <c r="EH40" s="141"/>
      <c r="EI40" s="141"/>
      <c r="EJ40" s="141"/>
      <c r="EK40" s="142"/>
      <c r="EL40" s="141" t="s">
        <v>162</v>
      </c>
      <c r="EM40" s="141"/>
      <c r="EN40" s="141"/>
      <c r="EO40" s="141"/>
      <c r="EP40" s="141"/>
      <c r="EQ40" s="141"/>
      <c r="ER40" s="141"/>
      <c r="ES40" s="142"/>
      <c r="ET40" s="141" t="s">
        <v>165</v>
      </c>
      <c r="EU40" s="141"/>
      <c r="EV40" s="141"/>
      <c r="EW40" s="141"/>
      <c r="EX40" s="141"/>
      <c r="EY40" s="141"/>
      <c r="EZ40" s="141"/>
      <c r="FA40" s="55"/>
      <c r="FB40" s="55"/>
      <c r="FC40" s="55"/>
      <c r="FD40" s="55"/>
      <c r="FE40" s="130"/>
    </row>
    <row r="41" spans="1:161" ht="17.25" customHeight="1" x14ac:dyDescent="0.2">
      <c r="A41" s="55"/>
      <c r="B41" s="55"/>
      <c r="C41" s="55"/>
      <c r="D41" s="55"/>
      <c r="E41" s="55"/>
      <c r="F41" s="55"/>
      <c r="G41" s="55"/>
      <c r="W41" s="130"/>
      <c r="X41" s="55"/>
      <c r="Y41" s="55"/>
      <c r="Z41" s="55"/>
      <c r="AA41" s="55"/>
      <c r="AB41" s="55"/>
      <c r="AC41" s="55"/>
      <c r="AD41" s="55"/>
      <c r="AE41" s="130"/>
      <c r="AF41" s="55"/>
      <c r="AG41" s="55"/>
      <c r="AH41" s="55"/>
      <c r="AI41" s="55"/>
      <c r="AJ41" s="55"/>
      <c r="AK41" s="55"/>
      <c r="AL41" s="55"/>
      <c r="AM41" s="55"/>
      <c r="AN41" s="55"/>
      <c r="AO41" s="55"/>
      <c r="AP41" s="55"/>
      <c r="AQ41" s="55"/>
      <c r="AR41" s="55"/>
      <c r="AS41" s="55"/>
      <c r="AT41" s="55"/>
      <c r="AU41" s="55"/>
      <c r="AV41" s="55"/>
      <c r="AW41" s="55"/>
      <c r="AX41" s="55"/>
      <c r="AY41" s="55"/>
      <c r="AZ41" s="55"/>
      <c r="BA41" s="55"/>
      <c r="BB41" s="55"/>
      <c r="BC41" s="55"/>
      <c r="BD41" s="55"/>
      <c r="BE41" s="55"/>
      <c r="BF41" s="55"/>
      <c r="BG41" s="55"/>
      <c r="BH41" s="55"/>
      <c r="BI41" s="130"/>
      <c r="BJ41" s="55"/>
      <c r="BK41" s="55"/>
      <c r="BL41" s="130"/>
      <c r="BM41" s="55"/>
      <c r="BN41" s="55"/>
      <c r="BO41" s="55"/>
      <c r="BP41" s="55"/>
      <c r="BQ41" s="55"/>
      <c r="BR41" s="55"/>
      <c r="BS41" s="55"/>
      <c r="BT41" s="55"/>
      <c r="BU41" s="55"/>
      <c r="BV41" s="55"/>
      <c r="BW41" s="55"/>
      <c r="BX41" s="130"/>
      <c r="BY41" s="55"/>
      <c r="BZ41" s="55"/>
      <c r="CA41" s="55"/>
      <c r="CB41" s="55"/>
      <c r="CC41" s="55"/>
      <c r="CD41" s="55"/>
      <c r="CE41" s="55"/>
      <c r="CF41" s="55"/>
      <c r="CG41" s="55"/>
      <c r="CH41" s="55"/>
      <c r="CI41" s="55"/>
      <c r="CJ41" s="55"/>
      <c r="CK41" s="55"/>
      <c r="CL41" s="55"/>
      <c r="CM41" s="55"/>
      <c r="CN41" s="55"/>
      <c r="CO41" s="55"/>
      <c r="CP41" s="55"/>
      <c r="CQ41" s="55"/>
      <c r="CR41" s="55"/>
      <c r="CS41" s="55"/>
      <c r="CT41" s="55"/>
      <c r="CU41" s="55"/>
      <c r="CV41" s="55"/>
      <c r="CW41" s="55"/>
      <c r="CX41" s="55"/>
      <c r="CY41" s="55"/>
      <c r="CZ41" s="55"/>
      <c r="DA41" s="55"/>
      <c r="DB41" s="55"/>
      <c r="DC41" s="55"/>
      <c r="DD41" s="55"/>
      <c r="DE41" s="55"/>
      <c r="DF41" s="55"/>
      <c r="DG41" s="55"/>
      <c r="DH41" s="55"/>
      <c r="DI41" s="55"/>
      <c r="DJ41" s="130"/>
      <c r="DK41" s="55"/>
      <c r="DL41" s="55"/>
      <c r="DM41" s="55"/>
      <c r="DN41" s="55"/>
      <c r="DO41" s="130"/>
      <c r="DP41" s="55"/>
      <c r="DQ41" s="55"/>
      <c r="DR41" s="55"/>
      <c r="DS41" s="55"/>
      <c r="DT41" s="55"/>
      <c r="DU41" s="55"/>
      <c r="DV41" s="55"/>
      <c r="DW41" s="55"/>
      <c r="DX41" s="55"/>
      <c r="DY41" s="55"/>
      <c r="DZ41" s="55"/>
      <c r="EA41" s="130"/>
      <c r="EB41" s="55"/>
      <c r="EC41" s="55"/>
      <c r="ED41" s="55"/>
      <c r="EE41" s="55"/>
      <c r="EF41" s="55"/>
      <c r="EG41" s="55"/>
      <c r="EH41" s="55"/>
      <c r="EI41" s="55"/>
      <c r="EJ41" s="55"/>
      <c r="EK41" s="55"/>
      <c r="EL41" s="55"/>
      <c r="EM41" s="55"/>
      <c r="EN41" s="55"/>
      <c r="EO41" s="55"/>
      <c r="EP41" s="55"/>
      <c r="EQ41" s="55"/>
      <c r="ER41" s="55"/>
      <c r="ES41" s="55"/>
      <c r="ET41" s="55"/>
      <c r="EU41" s="55"/>
      <c r="EV41" s="55"/>
      <c r="EW41" s="55"/>
      <c r="EX41" s="55"/>
      <c r="EY41" s="55"/>
      <c r="EZ41" s="55"/>
      <c r="FA41" s="55"/>
      <c r="FB41" s="55"/>
      <c r="FC41" s="55"/>
      <c r="FD41" s="55"/>
      <c r="FE41" s="130"/>
    </row>
    <row r="42" spans="1:161" ht="17.25" customHeight="1" x14ac:dyDescent="0.2">
      <c r="A42" s="55"/>
      <c r="B42" s="160" t="s">
        <v>177</v>
      </c>
      <c r="C42" s="161"/>
      <c r="D42" s="162" t="s">
        <v>178</v>
      </c>
      <c r="E42" s="163"/>
      <c r="F42" s="55"/>
      <c r="G42" s="55"/>
      <c r="W42" s="130"/>
      <c r="X42" s="55"/>
      <c r="Y42" s="55"/>
      <c r="Z42" s="55"/>
      <c r="AA42" s="55"/>
      <c r="AB42" s="55"/>
      <c r="AC42" s="55"/>
      <c r="AD42" s="55"/>
      <c r="AE42" s="130"/>
      <c r="AF42" s="55"/>
      <c r="AG42" s="271" t="s">
        <v>72</v>
      </c>
      <c r="AH42" s="271"/>
      <c r="AI42" s="271"/>
      <c r="AJ42" s="271"/>
      <c r="AK42" s="271"/>
      <c r="AL42" s="271"/>
      <c r="AM42" s="55"/>
      <c r="AN42" s="271" t="s">
        <v>108</v>
      </c>
      <c r="AO42" s="271"/>
      <c r="AP42" s="271"/>
      <c r="AQ42" s="271"/>
      <c r="AR42" s="271"/>
      <c r="AS42" s="271"/>
      <c r="AT42" s="55"/>
      <c r="AU42" s="275" t="s">
        <v>202</v>
      </c>
      <c r="AV42" s="275"/>
      <c r="AW42" s="275"/>
      <c r="AX42" s="275"/>
      <c r="AY42" s="275"/>
      <c r="AZ42" s="275"/>
      <c r="BA42" s="55"/>
      <c r="BB42" s="275" t="s">
        <v>202</v>
      </c>
      <c r="BC42" s="275"/>
      <c r="BD42" s="275"/>
      <c r="BE42" s="275"/>
      <c r="BF42" s="275"/>
      <c r="BG42" s="275"/>
      <c r="BH42" s="55"/>
      <c r="BI42" s="130"/>
      <c r="BJ42" s="55"/>
      <c r="BK42" s="55"/>
      <c r="BL42" s="130"/>
      <c r="BM42" s="55"/>
      <c r="BN42" s="55"/>
      <c r="BO42" s="55"/>
      <c r="BP42" s="55"/>
      <c r="BQ42" s="55"/>
      <c r="BR42" s="55"/>
      <c r="BS42" s="55"/>
      <c r="BT42" s="55"/>
      <c r="BU42" s="55"/>
      <c r="BV42" s="55"/>
      <c r="BW42" s="55"/>
      <c r="BX42" s="130"/>
      <c r="BY42" s="55"/>
      <c r="BZ42" s="55"/>
      <c r="CA42" s="54" t="s">
        <v>63</v>
      </c>
      <c r="CB42" s="271" t="s">
        <v>94</v>
      </c>
      <c r="CC42" s="271"/>
      <c r="CD42" s="271"/>
      <c r="CE42" s="271"/>
      <c r="CF42" s="271"/>
      <c r="CG42" s="271"/>
      <c r="CH42" s="55"/>
      <c r="CI42" s="167" t="s">
        <v>184</v>
      </c>
      <c r="CJ42" s="271" t="s">
        <v>186</v>
      </c>
      <c r="CK42" s="271"/>
      <c r="CL42" s="271"/>
      <c r="CM42" s="271"/>
      <c r="CN42" s="271"/>
      <c r="CO42" s="271"/>
      <c r="CP42" s="55"/>
      <c r="CQ42" s="54" t="s">
        <v>63</v>
      </c>
      <c r="CR42" s="271" t="s">
        <v>94</v>
      </c>
      <c r="CS42" s="271"/>
      <c r="CT42" s="271"/>
      <c r="CU42" s="271"/>
      <c r="CV42" s="271"/>
      <c r="CW42" s="271"/>
      <c r="CX42" s="55"/>
      <c r="CY42" s="55"/>
      <c r="CZ42" s="55"/>
      <c r="DA42" s="55"/>
      <c r="DB42" s="55"/>
      <c r="DC42" s="55"/>
      <c r="DD42" s="55"/>
      <c r="DE42" s="55"/>
      <c r="DF42" s="55"/>
      <c r="DG42" s="55"/>
      <c r="DH42" s="55"/>
      <c r="DI42" s="55"/>
      <c r="DJ42" s="130"/>
      <c r="DK42" s="55"/>
      <c r="DL42" s="55"/>
      <c r="DM42" s="55"/>
      <c r="DN42" s="55"/>
      <c r="DO42" s="130"/>
      <c r="DP42" s="55"/>
      <c r="DQ42" s="55"/>
      <c r="DR42" s="55"/>
      <c r="DS42" s="55"/>
      <c r="DT42" s="55"/>
      <c r="DU42" s="55"/>
      <c r="DV42" s="55"/>
      <c r="DW42" s="55"/>
      <c r="DX42" s="55"/>
      <c r="DY42" s="55"/>
      <c r="DZ42" s="55"/>
      <c r="EA42" s="130"/>
      <c r="EB42" s="55"/>
      <c r="EC42" s="55"/>
      <c r="ED42" s="54" t="s">
        <v>63</v>
      </c>
      <c r="EE42" s="271" t="s">
        <v>99</v>
      </c>
      <c r="EF42" s="271"/>
      <c r="EG42" s="271"/>
      <c r="EH42" s="271"/>
      <c r="EI42" s="271"/>
      <c r="EJ42" s="271"/>
      <c r="EK42" s="55"/>
      <c r="EL42" s="54" t="s">
        <v>63</v>
      </c>
      <c r="EM42" s="271" t="s">
        <v>99</v>
      </c>
      <c r="EN42" s="271"/>
      <c r="EO42" s="271"/>
      <c r="EP42" s="271"/>
      <c r="EQ42" s="271"/>
      <c r="ER42" s="271"/>
      <c r="ES42" s="55"/>
      <c r="ET42" s="55"/>
      <c r="EU42" s="55"/>
      <c r="EV42" s="55"/>
      <c r="EW42" s="55"/>
      <c r="EX42" s="55"/>
      <c r="EY42" s="55"/>
      <c r="EZ42" s="55"/>
      <c r="FA42" s="55"/>
      <c r="FB42" s="55"/>
      <c r="FC42" s="55"/>
      <c r="FD42" s="55"/>
      <c r="FE42" s="130"/>
    </row>
    <row r="43" spans="1:161" ht="17.25" customHeight="1" x14ac:dyDescent="0.2">
      <c r="A43" s="55"/>
      <c r="B43" s="156" t="str">
        <f>Анкета!B14</f>
        <v>Организационно правовая форма:</v>
      </c>
      <c r="C43" s="157" t="str">
        <f>Анкета!D14</f>
        <v>ООО</v>
      </c>
      <c r="D43" s="158" t="str">
        <f>IF(C43="ИП","ИП","не ИП")</f>
        <v>не ИП</v>
      </c>
      <c r="E43" s="157"/>
      <c r="F43" s="55"/>
      <c r="G43" s="55"/>
      <c r="W43" s="130"/>
      <c r="X43" s="55"/>
      <c r="Y43" s="128"/>
      <c r="Z43" s="128" t="s">
        <v>105</v>
      </c>
      <c r="AA43" s="128" t="s">
        <v>106</v>
      </c>
      <c r="AB43" s="55"/>
      <c r="AC43" s="55"/>
      <c r="AD43" s="55"/>
      <c r="AE43" s="130"/>
      <c r="AF43" s="55"/>
      <c r="AG43" s="273" t="s">
        <v>57</v>
      </c>
      <c r="AH43" s="273"/>
      <c r="AI43" s="273"/>
      <c r="AJ43" s="273"/>
      <c r="AK43" s="273"/>
      <c r="AL43" s="273"/>
      <c r="AM43" s="55"/>
      <c r="AN43" s="273" t="s">
        <v>67</v>
      </c>
      <c r="AO43" s="273"/>
      <c r="AP43" s="273"/>
      <c r="AQ43" s="273"/>
      <c r="AR43" s="273"/>
      <c r="AS43" s="273"/>
      <c r="AT43" s="55"/>
      <c r="AU43" s="275"/>
      <c r="AV43" s="275"/>
      <c r="AW43" s="275"/>
      <c r="AX43" s="275"/>
      <c r="AY43" s="275"/>
      <c r="AZ43" s="275"/>
      <c r="BA43" s="55"/>
      <c r="BB43" s="275"/>
      <c r="BC43" s="275"/>
      <c r="BD43" s="275"/>
      <c r="BE43" s="275"/>
      <c r="BF43" s="275"/>
      <c r="BG43" s="275"/>
      <c r="BH43" s="55"/>
      <c r="BI43" s="130"/>
      <c r="BJ43" s="55"/>
      <c r="BK43" s="55"/>
      <c r="BL43" s="130"/>
      <c r="BM43" s="55"/>
      <c r="BN43" s="55"/>
      <c r="BO43" s="128"/>
      <c r="BP43" s="128"/>
      <c r="BQ43" s="128"/>
      <c r="BR43" s="134" t="s">
        <v>114</v>
      </c>
      <c r="BS43" s="135" t="s">
        <v>86</v>
      </c>
      <c r="BT43" s="135" t="s">
        <v>87</v>
      </c>
      <c r="BU43" s="135" t="s">
        <v>53</v>
      </c>
      <c r="BV43" s="55"/>
      <c r="BW43" s="55"/>
      <c r="BX43" s="130"/>
      <c r="BY43" s="55"/>
      <c r="BZ43" s="55"/>
      <c r="CA43" s="4"/>
      <c r="CB43" s="271"/>
      <c r="CC43" s="271"/>
      <c r="CD43" s="271"/>
      <c r="CE43" s="271"/>
      <c r="CF43" s="271"/>
      <c r="CG43" s="271"/>
      <c r="CH43" s="55"/>
      <c r="CI43" s="4"/>
      <c r="CJ43" s="271" t="s">
        <v>185</v>
      </c>
      <c r="CK43" s="271"/>
      <c r="CL43" s="271"/>
      <c r="CM43" s="271"/>
      <c r="CN43" s="271"/>
      <c r="CO43" s="271"/>
      <c r="CP43" s="55"/>
      <c r="CQ43" s="4"/>
      <c r="CR43" s="271"/>
      <c r="CS43" s="271"/>
      <c r="CT43" s="271"/>
      <c r="CU43" s="271"/>
      <c r="CV43" s="271"/>
      <c r="CW43" s="271"/>
      <c r="CX43" s="55"/>
      <c r="CY43" s="55"/>
      <c r="CZ43" s="55"/>
      <c r="DA43" s="55"/>
      <c r="DB43" s="55"/>
      <c r="DC43" s="55"/>
      <c r="DD43" s="55"/>
      <c r="DE43" s="55"/>
      <c r="DF43" s="55"/>
      <c r="DG43" s="55"/>
      <c r="DH43" s="55"/>
      <c r="DI43" s="55"/>
      <c r="DJ43" s="130"/>
      <c r="DK43" s="55"/>
      <c r="DL43" s="55"/>
      <c r="DM43" s="55"/>
      <c r="DN43" s="55"/>
      <c r="DO43" s="130"/>
      <c r="DP43" s="55"/>
      <c r="DQ43" s="55"/>
      <c r="DR43" s="128"/>
      <c r="DS43" s="128"/>
      <c r="DT43" s="128"/>
      <c r="DU43" s="134" t="s">
        <v>114</v>
      </c>
      <c r="DV43" s="135" t="s">
        <v>86</v>
      </c>
      <c r="DW43" s="135" t="s">
        <v>87</v>
      </c>
      <c r="DX43" s="135" t="s">
        <v>53</v>
      </c>
      <c r="DY43" s="55"/>
      <c r="DZ43" s="55"/>
      <c r="EA43" s="130"/>
      <c r="EB43" s="55"/>
      <c r="EC43" s="55"/>
      <c r="ED43" s="4"/>
      <c r="EE43" s="271"/>
      <c r="EF43" s="271"/>
      <c r="EG43" s="271"/>
      <c r="EH43" s="271"/>
      <c r="EI43" s="271"/>
      <c r="EJ43" s="271"/>
      <c r="EK43" s="55"/>
      <c r="EL43" s="4"/>
      <c r="EM43" s="271"/>
      <c r="EN43" s="271"/>
      <c r="EO43" s="271"/>
      <c r="EP43" s="271"/>
      <c r="EQ43" s="271"/>
      <c r="ER43" s="271"/>
      <c r="ES43" s="55"/>
      <c r="ET43" s="55"/>
      <c r="EU43" s="55"/>
      <c r="EV43" s="55"/>
      <c r="EW43" s="55"/>
      <c r="EX43" s="55"/>
      <c r="EY43" s="55"/>
      <c r="EZ43" s="55"/>
      <c r="FA43" s="55"/>
      <c r="FB43" s="55"/>
      <c r="FC43" s="55"/>
      <c r="FD43" s="55"/>
      <c r="FE43" s="130"/>
    </row>
    <row r="44" spans="1:161" ht="17.25" customHeight="1" x14ac:dyDescent="0.2">
      <c r="A44" s="55"/>
      <c r="B44" s="152" t="str">
        <f>Анкета!N12</f>
        <v>Система налогообложения:</v>
      </c>
      <c r="C44" s="151" t="str">
        <f>Анкета!O12</f>
        <v>ОСН</v>
      </c>
      <c r="D44" s="159" t="str">
        <f>C44&amp;", "&amp;C45</f>
        <v>ОСН, 0</v>
      </c>
      <c r="E44" s="151"/>
      <c r="F44" s="55"/>
      <c r="G44" s="55"/>
      <c r="W44" s="130"/>
      <c r="X44" s="55"/>
      <c r="Y44" s="129" t="s">
        <v>121</v>
      </c>
      <c r="Z44" s="132" t="s">
        <v>181</v>
      </c>
      <c r="AA44" s="132" t="s">
        <v>122</v>
      </c>
      <c r="AB44" s="55"/>
      <c r="AC44" s="55"/>
      <c r="AD44" s="55"/>
      <c r="AE44" s="130"/>
      <c r="AF44" s="55"/>
      <c r="AG44" s="271" t="s">
        <v>73</v>
      </c>
      <c r="AH44" s="271"/>
      <c r="AI44" s="271"/>
      <c r="AJ44" s="271"/>
      <c r="AK44" s="271"/>
      <c r="AL44" s="271"/>
      <c r="AM44" s="55"/>
      <c r="AN44" s="271" t="s">
        <v>110</v>
      </c>
      <c r="AO44" s="271"/>
      <c r="AP44" s="271"/>
      <c r="AQ44" s="271"/>
      <c r="AR44" s="271"/>
      <c r="AS44" s="271"/>
      <c r="AT44" s="55"/>
      <c r="AU44" s="276" t="s">
        <v>73</v>
      </c>
      <c r="AV44" s="276"/>
      <c r="AW44" s="276"/>
      <c r="AX44" s="276"/>
      <c r="AY44" s="276"/>
      <c r="AZ44" s="276"/>
      <c r="BA44" s="55"/>
      <c r="BB44" s="276" t="s">
        <v>73</v>
      </c>
      <c r="BC44" s="276"/>
      <c r="BD44" s="276"/>
      <c r="BE44" s="276"/>
      <c r="BF44" s="276"/>
      <c r="BG44" s="276"/>
      <c r="BH44" s="55"/>
      <c r="BI44" s="130"/>
      <c r="BJ44" s="55"/>
      <c r="BK44" s="55"/>
      <c r="BL44" s="130"/>
      <c r="BM44" s="55"/>
      <c r="BN44" s="55"/>
      <c r="BO44" s="133" t="s">
        <v>28</v>
      </c>
      <c r="BP44" s="133" t="s">
        <v>112</v>
      </c>
      <c r="BQ44" s="133" t="str">
        <f>BO44&amp;", "&amp;BP44</f>
        <v>ОСН, до 5 млн. руб.</v>
      </c>
      <c r="BR44" s="139" t="s">
        <v>149</v>
      </c>
      <c r="BS44" s="137" t="s">
        <v>195</v>
      </c>
      <c r="BT44" s="136" t="s">
        <v>155</v>
      </c>
      <c r="BU44" s="136" t="s">
        <v>155</v>
      </c>
      <c r="BV44" s="55"/>
      <c r="BW44" s="55"/>
      <c r="BX44" s="130"/>
      <c r="BY44" s="55"/>
      <c r="BZ44" s="55"/>
      <c r="CA44" s="54" t="s">
        <v>64</v>
      </c>
      <c r="CB44" s="271" t="s">
        <v>99</v>
      </c>
      <c r="CC44" s="271"/>
      <c r="CD44" s="271"/>
      <c r="CE44" s="271"/>
      <c r="CF44" s="271"/>
      <c r="CG44" s="271"/>
      <c r="CH44" s="55"/>
      <c r="CI44" s="167"/>
      <c r="CJ44" s="274"/>
      <c r="CK44" s="274"/>
      <c r="CL44" s="274"/>
      <c r="CM44" s="274"/>
      <c r="CN44" s="274"/>
      <c r="CO44" s="274"/>
      <c r="CP44" s="55"/>
      <c r="CQ44" s="54" t="s">
        <v>64</v>
      </c>
      <c r="CR44" s="271" t="s">
        <v>99</v>
      </c>
      <c r="CS44" s="271"/>
      <c r="CT44" s="271"/>
      <c r="CU44" s="271"/>
      <c r="CV44" s="271"/>
      <c r="CW44" s="271"/>
      <c r="CX44" s="55"/>
      <c r="CY44" s="55"/>
      <c r="CZ44" s="55"/>
      <c r="DA44" s="55"/>
      <c r="DB44" s="55"/>
      <c r="DC44" s="55"/>
      <c r="DD44" s="55"/>
      <c r="DE44" s="55"/>
      <c r="DF44" s="55"/>
      <c r="DG44" s="55"/>
      <c r="DH44" s="55"/>
      <c r="DI44" s="55"/>
      <c r="DJ44" s="130"/>
      <c r="DK44" s="55"/>
      <c r="DL44" s="55"/>
      <c r="DM44" s="55"/>
      <c r="DN44" s="55"/>
      <c r="DO44" s="130"/>
      <c r="DP44" s="55"/>
      <c r="DQ44" s="55"/>
      <c r="DR44" s="133" t="s">
        <v>28</v>
      </c>
      <c r="DS44" s="133" t="s">
        <v>112</v>
      </c>
      <c r="DT44" s="133" t="str">
        <f t="shared" ref="DT44:DT55" si="0">DR44&amp;", "&amp;DS44</f>
        <v>ОСН, до 5 млн. руб.</v>
      </c>
      <c r="DU44" s="145" t="s">
        <v>142</v>
      </c>
      <c r="DV44" s="65" t="s">
        <v>146</v>
      </c>
      <c r="DW44" s="147" t="s">
        <v>158</v>
      </c>
      <c r="DX44" s="147" t="s">
        <v>158</v>
      </c>
      <c r="DY44" s="55"/>
      <c r="DZ44" s="55"/>
      <c r="EA44" s="130"/>
      <c r="EB44" s="55"/>
      <c r="EC44" s="55"/>
      <c r="ED44" s="4"/>
      <c r="EE44" s="96"/>
      <c r="EF44" s="96"/>
      <c r="EG44" s="96"/>
      <c r="EH44" s="96"/>
      <c r="EI44" s="96"/>
      <c r="EJ44" s="96"/>
      <c r="EK44" s="55"/>
      <c r="EL44" s="4"/>
      <c r="EM44" s="4"/>
      <c r="EN44" s="57"/>
      <c r="EO44" s="57"/>
      <c r="EP44" s="57"/>
      <c r="EQ44" s="57"/>
      <c r="ER44" s="117"/>
      <c r="ES44" s="55"/>
      <c r="ET44" s="55"/>
      <c r="EU44" s="55"/>
      <c r="EV44" s="55"/>
      <c r="EW44" s="55"/>
      <c r="EX44" s="55"/>
      <c r="EY44" s="55"/>
      <c r="EZ44" s="55"/>
      <c r="FA44" s="55"/>
      <c r="FB44" s="55"/>
      <c r="FC44" s="55"/>
      <c r="FD44" s="55"/>
      <c r="FE44" s="130"/>
    </row>
    <row r="45" spans="1:161" ht="17.25" customHeight="1" x14ac:dyDescent="0.2">
      <c r="A45" s="55"/>
      <c r="B45" s="152" t="str">
        <f>Анкета!N14</f>
        <v>Сумма финансирования:</v>
      </c>
      <c r="C45" s="151">
        <f>Анкета!O14</f>
        <v>0</v>
      </c>
      <c r="D45" s="55" t="str">
        <f>IF(C45="Свыше 7 млн. руб.","Свыше 7 млн. руб.","до 7 млн. руб.")</f>
        <v>до 7 млн. руб.</v>
      </c>
      <c r="E45" s="151"/>
      <c r="F45" s="55"/>
      <c r="G45" s="55"/>
      <c r="W45" s="130"/>
      <c r="X45" s="55"/>
      <c r="Y45" s="129" t="s">
        <v>6</v>
      </c>
      <c r="Z45" s="132" t="s">
        <v>182</v>
      </c>
      <c r="AA45" s="132" t="s">
        <v>183</v>
      </c>
      <c r="AB45" s="55"/>
      <c r="AC45" s="55"/>
      <c r="AD45" s="55"/>
      <c r="AE45" s="130"/>
      <c r="AF45" s="55"/>
      <c r="AG45" s="273" t="s">
        <v>67</v>
      </c>
      <c r="AH45" s="273"/>
      <c r="AI45" s="273"/>
      <c r="AJ45" s="273"/>
      <c r="AK45" s="273"/>
      <c r="AL45" s="273"/>
      <c r="AM45" s="55"/>
      <c r="AN45" s="271" t="s">
        <v>191</v>
      </c>
      <c r="AO45" s="271"/>
      <c r="AP45" s="271"/>
      <c r="AQ45" s="271"/>
      <c r="AR45" s="271"/>
      <c r="AS45" s="271"/>
      <c r="AT45" s="55"/>
      <c r="AU45" s="273" t="s">
        <v>67</v>
      </c>
      <c r="AV45" s="273"/>
      <c r="AW45" s="273"/>
      <c r="AX45" s="273"/>
      <c r="AY45" s="273"/>
      <c r="AZ45" s="273"/>
      <c r="BA45" s="55"/>
      <c r="BB45" s="273" t="s">
        <v>67</v>
      </c>
      <c r="BC45" s="273"/>
      <c r="BD45" s="273"/>
      <c r="BE45" s="273"/>
      <c r="BF45" s="273"/>
      <c r="BG45" s="273"/>
      <c r="BH45" s="55"/>
      <c r="BI45" s="130"/>
      <c r="BJ45" s="55"/>
      <c r="BK45" s="55"/>
      <c r="BL45" s="130"/>
      <c r="BM45" s="55"/>
      <c r="BN45" s="55"/>
      <c r="BO45" s="133" t="s">
        <v>28</v>
      </c>
      <c r="BP45" s="128" t="s">
        <v>113</v>
      </c>
      <c r="BQ45" s="133" t="str">
        <f t="shared" ref="BQ45:BQ55" si="1">BO45&amp;", "&amp;BP45</f>
        <v>ОСН, от 5 до 7 млн. руб.</v>
      </c>
      <c r="BR45" s="139" t="s">
        <v>150</v>
      </c>
      <c r="BS45" s="138" t="s">
        <v>151</v>
      </c>
      <c r="BT45" s="136" t="s">
        <v>155</v>
      </c>
      <c r="BU45" s="136" t="s">
        <v>155</v>
      </c>
      <c r="BV45" s="55"/>
      <c r="BW45" s="55"/>
      <c r="BX45" s="130"/>
      <c r="BY45" s="55"/>
      <c r="BZ45" s="55"/>
      <c r="CA45" s="54"/>
      <c r="CB45" s="271"/>
      <c r="CC45" s="271"/>
      <c r="CD45" s="271"/>
      <c r="CE45" s="271"/>
      <c r="CF45" s="271"/>
      <c r="CG45" s="271"/>
      <c r="CH45" s="55"/>
      <c r="CI45" s="4"/>
      <c r="CJ45" s="274"/>
      <c r="CK45" s="274"/>
      <c r="CL45" s="274"/>
      <c r="CM45" s="274"/>
      <c r="CN45" s="274"/>
      <c r="CO45" s="274"/>
      <c r="CP45" s="55"/>
      <c r="CQ45" s="54"/>
      <c r="CR45" s="271"/>
      <c r="CS45" s="271"/>
      <c r="CT45" s="271"/>
      <c r="CU45" s="271"/>
      <c r="CV45" s="271"/>
      <c r="CW45" s="271"/>
      <c r="CX45" s="55"/>
      <c r="CY45" s="55"/>
      <c r="CZ45" s="55"/>
      <c r="DA45" s="55"/>
      <c r="DB45" s="55"/>
      <c r="DC45" s="55"/>
      <c r="DD45" s="55"/>
      <c r="DE45" s="55"/>
      <c r="DF45" s="55"/>
      <c r="DG45" s="55"/>
      <c r="DH45" s="55"/>
      <c r="DI45" s="55"/>
      <c r="DJ45" s="130"/>
      <c r="DK45" s="55"/>
      <c r="DL45" s="55"/>
      <c r="DM45" s="55"/>
      <c r="DN45" s="55"/>
      <c r="DO45" s="130"/>
      <c r="DP45" s="55"/>
      <c r="DQ45" s="55"/>
      <c r="DR45" s="133" t="s">
        <v>28</v>
      </c>
      <c r="DS45" s="128" t="s">
        <v>113</v>
      </c>
      <c r="DT45" s="128" t="str">
        <f t="shared" si="0"/>
        <v>ОСН, от 5 до 7 млн. руб.</v>
      </c>
      <c r="DU45" s="145" t="s">
        <v>142</v>
      </c>
      <c r="DV45" s="65" t="s">
        <v>146</v>
      </c>
      <c r="DW45" s="147" t="s">
        <v>158</v>
      </c>
      <c r="DX45" s="147" t="s">
        <v>158</v>
      </c>
      <c r="DY45" s="55"/>
      <c r="DZ45" s="55"/>
      <c r="EA45" s="130"/>
      <c r="EB45" s="55"/>
      <c r="EC45" s="55"/>
      <c r="ED45" s="54" t="s">
        <v>64</v>
      </c>
      <c r="EE45" s="271" t="s">
        <v>93</v>
      </c>
      <c r="EF45" s="271"/>
      <c r="EG45" s="271"/>
      <c r="EH45" s="271"/>
      <c r="EI45" s="271"/>
      <c r="EJ45" s="271"/>
      <c r="EK45" s="55"/>
      <c r="EL45" s="54" t="s">
        <v>64</v>
      </c>
      <c r="EM45" s="271" t="s">
        <v>93</v>
      </c>
      <c r="EN45" s="271"/>
      <c r="EO45" s="271"/>
      <c r="EP45" s="271"/>
      <c r="EQ45" s="271"/>
      <c r="ER45" s="271"/>
      <c r="ES45" s="55"/>
      <c r="ET45" s="55"/>
      <c r="EU45" s="55"/>
      <c r="EV45" s="55"/>
      <c r="EW45" s="55"/>
      <c r="EX45" s="55"/>
      <c r="EY45" s="55"/>
      <c r="EZ45" s="55"/>
      <c r="FA45" s="55"/>
      <c r="FB45" s="55"/>
      <c r="FC45" s="55"/>
      <c r="FD45" s="55"/>
      <c r="FE45" s="130"/>
    </row>
    <row r="46" spans="1:161" ht="17.25" customHeight="1" x14ac:dyDescent="0.2">
      <c r="A46" s="55"/>
      <c r="B46" s="152" t="str">
        <f>Анкета!C18</f>
        <v>Вид:</v>
      </c>
      <c r="C46" s="151">
        <f>Анкета!D18</f>
        <v>0</v>
      </c>
      <c r="D46" s="55">
        <f>C46</f>
        <v>0</v>
      </c>
      <c r="E46" s="151"/>
      <c r="F46" s="55"/>
      <c r="G46" s="55"/>
      <c r="W46" s="130"/>
      <c r="X46" s="55"/>
      <c r="Y46" s="55"/>
      <c r="Z46" s="55"/>
      <c r="AA46" s="55"/>
      <c r="AB46" s="55"/>
      <c r="AC46" s="55"/>
      <c r="AD46" s="55"/>
      <c r="AE46" s="130"/>
      <c r="AF46" s="55"/>
      <c r="AG46" s="271" t="s">
        <v>228</v>
      </c>
      <c r="AH46" s="271"/>
      <c r="AI46" s="271"/>
      <c r="AJ46" s="271"/>
      <c r="AK46" s="271"/>
      <c r="AL46" s="271"/>
      <c r="AM46" s="55"/>
      <c r="AN46" s="273" t="s">
        <v>233</v>
      </c>
      <c r="AO46" s="273"/>
      <c r="AP46" s="273"/>
      <c r="AQ46" s="273"/>
      <c r="AR46" s="273"/>
      <c r="AS46" s="273"/>
      <c r="AT46" s="55"/>
      <c r="AU46" s="271" t="s">
        <v>111</v>
      </c>
      <c r="AV46" s="271"/>
      <c r="AW46" s="271"/>
      <c r="AX46" s="271"/>
      <c r="AY46" s="271"/>
      <c r="AZ46" s="271"/>
      <c r="BA46" s="55"/>
      <c r="BB46" s="271" t="s">
        <v>111</v>
      </c>
      <c r="BC46" s="271"/>
      <c r="BD46" s="271"/>
      <c r="BE46" s="271"/>
      <c r="BF46" s="271"/>
      <c r="BG46" s="271"/>
      <c r="BH46" s="55"/>
      <c r="BI46" s="130"/>
      <c r="BJ46" s="55"/>
      <c r="BK46" s="55"/>
      <c r="BL46" s="130"/>
      <c r="BM46" s="55"/>
      <c r="BN46" s="55"/>
      <c r="BO46" s="133" t="s">
        <v>28</v>
      </c>
      <c r="BP46" s="128" t="s">
        <v>109</v>
      </c>
      <c r="BQ46" s="133" t="str">
        <f t="shared" si="1"/>
        <v>ОСН, свыше 7 млн. руб.</v>
      </c>
      <c r="BR46" s="140" t="s">
        <v>123</v>
      </c>
      <c r="BS46" s="138" t="s">
        <v>151</v>
      </c>
      <c r="BT46" s="136" t="s">
        <v>155</v>
      </c>
      <c r="BU46" s="136" t="s">
        <v>155</v>
      </c>
      <c r="BV46" s="55"/>
      <c r="BW46" s="55"/>
      <c r="BX46" s="130"/>
      <c r="BY46" s="55"/>
      <c r="BZ46" s="55"/>
      <c r="CA46" s="54" t="s">
        <v>65</v>
      </c>
      <c r="CB46" s="277" t="s">
        <v>81</v>
      </c>
      <c r="CC46" s="277"/>
      <c r="CD46" s="277"/>
      <c r="CE46" s="277"/>
      <c r="CF46" s="277"/>
      <c r="CG46" s="277"/>
      <c r="CH46" s="55"/>
      <c r="CI46" s="4"/>
      <c r="CJ46" s="274"/>
      <c r="CK46" s="274"/>
      <c r="CL46" s="274"/>
      <c r="CM46" s="274"/>
      <c r="CN46" s="274"/>
      <c r="CO46" s="274"/>
      <c r="CP46" s="55"/>
      <c r="CQ46" s="54" t="s">
        <v>65</v>
      </c>
      <c r="CR46" s="277" t="s">
        <v>81</v>
      </c>
      <c r="CS46" s="277"/>
      <c r="CT46" s="277"/>
      <c r="CU46" s="277"/>
      <c r="CV46" s="277"/>
      <c r="CW46" s="277"/>
      <c r="CX46" s="55"/>
      <c r="CY46" s="55"/>
      <c r="CZ46" s="55"/>
      <c r="DA46" s="55"/>
      <c r="DB46" s="55"/>
      <c r="DC46" s="55"/>
      <c r="DD46" s="55"/>
      <c r="DE46" s="55"/>
      <c r="DF46" s="55"/>
      <c r="DG46" s="55"/>
      <c r="DH46" s="55"/>
      <c r="DI46" s="55"/>
      <c r="DJ46" s="130"/>
      <c r="DK46" s="55"/>
      <c r="DL46" s="55"/>
      <c r="DM46" s="55"/>
      <c r="DN46" s="55"/>
      <c r="DO46" s="130"/>
      <c r="DP46" s="55"/>
      <c r="DQ46" s="55"/>
      <c r="DR46" s="133" t="s">
        <v>28</v>
      </c>
      <c r="DS46" s="128" t="s">
        <v>109</v>
      </c>
      <c r="DT46" s="128" t="str">
        <f t="shared" si="0"/>
        <v>ОСН, свыше 7 млн. руб.</v>
      </c>
      <c r="DU46" s="146" t="s">
        <v>123</v>
      </c>
      <c r="DV46" s="65" t="s">
        <v>146</v>
      </c>
      <c r="DW46" s="147" t="s">
        <v>158</v>
      </c>
      <c r="DX46" s="147" t="s">
        <v>158</v>
      </c>
      <c r="DY46" s="55"/>
      <c r="DZ46" s="55"/>
      <c r="EA46" s="130"/>
      <c r="EB46" s="55"/>
      <c r="EC46" s="55"/>
      <c r="ED46" s="54"/>
      <c r="EE46" s="271"/>
      <c r="EF46" s="271"/>
      <c r="EG46" s="271"/>
      <c r="EH46" s="271"/>
      <c r="EI46" s="271"/>
      <c r="EJ46" s="271"/>
      <c r="EK46" s="55"/>
      <c r="EL46" s="54"/>
      <c r="EM46" s="271"/>
      <c r="EN46" s="271"/>
      <c r="EO46" s="271"/>
      <c r="EP46" s="271"/>
      <c r="EQ46" s="271"/>
      <c r="ER46" s="271"/>
      <c r="ES46" s="55"/>
      <c r="ET46" s="55"/>
      <c r="EU46" s="55"/>
      <c r="EV46" s="55"/>
      <c r="EW46" s="55"/>
      <c r="EX46" s="55"/>
      <c r="EY46" s="55"/>
      <c r="EZ46" s="55"/>
      <c r="FA46" s="55"/>
      <c r="FB46" s="55"/>
      <c r="FC46" s="55"/>
      <c r="FD46" s="55"/>
      <c r="FE46" s="130"/>
    </row>
    <row r="47" spans="1:161" ht="17.25" customHeight="1" x14ac:dyDescent="0.2">
      <c r="A47" s="55"/>
      <c r="B47" s="152" t="str">
        <f>Анкета!K18</f>
        <v>Аванс по договору 
Лизинга (%):</v>
      </c>
      <c r="C47" s="151">
        <f>Анкета!L18</f>
        <v>0</v>
      </c>
      <c r="D47" s="55"/>
      <c r="E47" s="151"/>
      <c r="F47" s="55"/>
      <c r="G47" s="55"/>
      <c r="W47" s="130"/>
      <c r="X47" s="55"/>
      <c r="Y47" s="55"/>
      <c r="Z47" s="55"/>
      <c r="AA47" s="55"/>
      <c r="AB47" s="55"/>
      <c r="AC47" s="55"/>
      <c r="AD47" s="55"/>
      <c r="AE47" s="130"/>
      <c r="AF47" s="55"/>
      <c r="AG47" s="271" t="s">
        <v>229</v>
      </c>
      <c r="AH47" s="271"/>
      <c r="AI47" s="271"/>
      <c r="AJ47" s="271"/>
      <c r="AK47" s="271"/>
      <c r="AL47" s="271"/>
      <c r="AM47" s="55"/>
      <c r="AN47" s="271" t="s">
        <v>111</v>
      </c>
      <c r="AO47" s="271"/>
      <c r="AP47" s="271"/>
      <c r="AQ47" s="271"/>
      <c r="AR47" s="271"/>
      <c r="AS47" s="55"/>
      <c r="AT47" s="55"/>
      <c r="AU47" s="55"/>
      <c r="AV47" s="55"/>
      <c r="AW47" s="55"/>
      <c r="AX47" s="55"/>
      <c r="AY47" s="55"/>
      <c r="AZ47" s="55"/>
      <c r="BA47" s="55"/>
      <c r="BB47" s="55"/>
      <c r="BC47" s="55"/>
      <c r="BD47" s="55"/>
      <c r="BE47" s="55"/>
      <c r="BF47" s="55"/>
      <c r="BG47" s="55"/>
      <c r="BH47" s="55"/>
      <c r="BI47" s="130"/>
      <c r="BJ47" s="55"/>
      <c r="BK47" s="55"/>
      <c r="BL47" s="130"/>
      <c r="BM47" s="55"/>
      <c r="BN47" s="55"/>
      <c r="BO47" s="128" t="s">
        <v>29</v>
      </c>
      <c r="BP47" s="128" t="s">
        <v>112</v>
      </c>
      <c r="BQ47" s="133" t="str">
        <f t="shared" si="1"/>
        <v>УСН, до 5 млн. руб.</v>
      </c>
      <c r="BR47" s="139" t="s">
        <v>192</v>
      </c>
      <c r="BS47" s="137" t="s">
        <v>196</v>
      </c>
      <c r="BT47" s="136" t="s">
        <v>156</v>
      </c>
      <c r="BU47" s="136" t="s">
        <v>156</v>
      </c>
      <c r="BV47" s="55"/>
      <c r="BW47" s="55"/>
      <c r="BX47" s="130"/>
      <c r="BY47" s="55"/>
      <c r="BZ47" s="55"/>
      <c r="CA47" s="4"/>
      <c r="CB47" s="273" t="s">
        <v>95</v>
      </c>
      <c r="CC47" s="273"/>
      <c r="CD47" s="273"/>
      <c r="CE47" s="273"/>
      <c r="CF47" s="273"/>
      <c r="CG47" s="273"/>
      <c r="CH47" s="55"/>
      <c r="CI47" s="167"/>
      <c r="CJ47" s="280"/>
      <c r="CK47" s="280"/>
      <c r="CL47" s="280"/>
      <c r="CM47" s="280"/>
      <c r="CN47" s="280"/>
      <c r="CO47" s="280"/>
      <c r="CP47" s="55"/>
      <c r="CQ47" s="4"/>
      <c r="CR47" s="273" t="s">
        <v>95</v>
      </c>
      <c r="CS47" s="273"/>
      <c r="CT47" s="273"/>
      <c r="CU47" s="273"/>
      <c r="CV47" s="273"/>
      <c r="CW47" s="273"/>
      <c r="CX47" s="55"/>
      <c r="CY47" s="55"/>
      <c r="CZ47" s="55"/>
      <c r="DA47" s="55"/>
      <c r="DB47" s="55"/>
      <c r="DC47" s="55"/>
      <c r="DD47" s="55"/>
      <c r="DE47" s="55"/>
      <c r="DF47" s="55"/>
      <c r="DG47" s="55"/>
      <c r="DH47" s="55"/>
      <c r="DI47" s="55"/>
      <c r="DJ47" s="130"/>
      <c r="DK47" s="55"/>
      <c r="DL47" s="55"/>
      <c r="DM47" s="55"/>
      <c r="DN47" s="55"/>
      <c r="DO47" s="130"/>
      <c r="DP47" s="55"/>
      <c r="DQ47" s="55"/>
      <c r="DR47" s="128" t="s">
        <v>29</v>
      </c>
      <c r="DS47" s="128" t="s">
        <v>112</v>
      </c>
      <c r="DT47" s="128" t="str">
        <f t="shared" si="0"/>
        <v>УСН, до 5 млн. руб.</v>
      </c>
      <c r="DU47" s="145" t="s">
        <v>143</v>
      </c>
      <c r="DV47" s="65" t="s">
        <v>147</v>
      </c>
      <c r="DW47" s="147" t="s">
        <v>201</v>
      </c>
      <c r="DX47" s="147" t="s">
        <v>201</v>
      </c>
      <c r="DY47" s="55"/>
      <c r="DZ47" s="55"/>
      <c r="EA47" s="130"/>
      <c r="EB47" s="55"/>
      <c r="EC47" s="55"/>
      <c r="ED47" s="4"/>
      <c r="EE47" s="271"/>
      <c r="EF47" s="271"/>
      <c r="EG47" s="271"/>
      <c r="EH47" s="271"/>
      <c r="EI47" s="271"/>
      <c r="EJ47" s="271"/>
      <c r="EK47" s="55"/>
      <c r="EL47" s="4"/>
      <c r="EM47" s="271"/>
      <c r="EN47" s="271"/>
      <c r="EO47" s="271"/>
      <c r="EP47" s="271"/>
      <c r="EQ47" s="271"/>
      <c r="ER47" s="271"/>
      <c r="ES47" s="55"/>
      <c r="ET47" s="55"/>
      <c r="EU47" s="55"/>
      <c r="EV47" s="55"/>
      <c r="EW47" s="55"/>
      <c r="EX47" s="55"/>
      <c r="EY47" s="55"/>
      <c r="EZ47" s="55"/>
      <c r="FA47" s="55"/>
      <c r="FB47" s="55"/>
      <c r="FC47" s="55"/>
      <c r="FD47" s="55"/>
      <c r="FE47" s="130"/>
    </row>
    <row r="48" spans="1:161" ht="17.25" customHeight="1" x14ac:dyDescent="0.2">
      <c r="A48" s="55"/>
      <c r="B48" s="153" t="str">
        <f>Анкета!N18</f>
        <v>Срок лизинга 
(месяцев):</v>
      </c>
      <c r="C48" s="154">
        <f>Анкета!O18</f>
        <v>0</v>
      </c>
      <c r="D48" s="155"/>
      <c r="E48" s="154"/>
      <c r="F48" s="55"/>
      <c r="G48" s="55"/>
      <c r="W48" s="130"/>
      <c r="X48" s="55"/>
      <c r="Y48" s="55"/>
      <c r="Z48" s="55"/>
      <c r="AA48" s="55"/>
      <c r="AB48" s="55"/>
      <c r="AC48" s="55"/>
      <c r="AD48" s="55"/>
      <c r="AE48" s="130"/>
      <c r="AF48" s="55"/>
      <c r="AG48" s="276" t="s">
        <v>190</v>
      </c>
      <c r="AH48" s="276"/>
      <c r="AI48" s="276"/>
      <c r="AJ48" s="276"/>
      <c r="AK48" s="276"/>
      <c r="AL48" s="276"/>
      <c r="AM48" s="55"/>
      <c r="AN48" s="55"/>
      <c r="AO48" s="55"/>
      <c r="AP48" s="55"/>
      <c r="AQ48" s="55"/>
      <c r="AR48" s="55"/>
      <c r="AS48" s="55"/>
      <c r="AT48" s="55"/>
      <c r="AU48" s="55"/>
      <c r="AV48" s="55"/>
      <c r="AW48" s="55"/>
      <c r="AX48" s="55"/>
      <c r="AY48" s="55"/>
      <c r="AZ48" s="55"/>
      <c r="BA48" s="55"/>
      <c r="BB48" s="55"/>
      <c r="BC48" s="55"/>
      <c r="BD48" s="55"/>
      <c r="BE48" s="55"/>
      <c r="BF48" s="55"/>
      <c r="BG48" s="55"/>
      <c r="BH48" s="55"/>
      <c r="BI48" s="130"/>
      <c r="BJ48" s="55"/>
      <c r="BK48" s="55"/>
      <c r="BL48" s="130"/>
      <c r="BM48" s="55"/>
      <c r="BN48" s="55"/>
      <c r="BO48" s="128" t="s">
        <v>29</v>
      </c>
      <c r="BP48" s="128" t="s">
        <v>113</v>
      </c>
      <c r="BQ48" s="133" t="str">
        <f t="shared" si="1"/>
        <v>УСН, от 5 до 7 млн. руб.</v>
      </c>
      <c r="BR48" s="139" t="s">
        <v>192</v>
      </c>
      <c r="BS48" s="138" t="s">
        <v>152</v>
      </c>
      <c r="BT48" s="136" t="s">
        <v>156</v>
      </c>
      <c r="BU48" s="136" t="s">
        <v>156</v>
      </c>
      <c r="BV48" s="55"/>
      <c r="BW48" s="55"/>
      <c r="BX48" s="130"/>
      <c r="BY48" s="55"/>
      <c r="BZ48" s="55"/>
      <c r="CA48" s="4"/>
      <c r="CB48" s="273"/>
      <c r="CC48" s="273"/>
      <c r="CD48" s="273"/>
      <c r="CE48" s="273"/>
      <c r="CF48" s="273"/>
      <c r="CG48" s="273"/>
      <c r="CH48" s="55"/>
      <c r="CI48" s="4"/>
      <c r="CJ48" s="280"/>
      <c r="CK48" s="280"/>
      <c r="CL48" s="280"/>
      <c r="CM48" s="280"/>
      <c r="CN48" s="280"/>
      <c r="CO48" s="280"/>
      <c r="CP48" s="55"/>
      <c r="CQ48" s="4"/>
      <c r="CR48" s="273"/>
      <c r="CS48" s="273"/>
      <c r="CT48" s="273"/>
      <c r="CU48" s="273"/>
      <c r="CV48" s="273"/>
      <c r="CW48" s="273"/>
      <c r="CX48" s="55"/>
      <c r="CY48" s="55"/>
      <c r="CZ48" s="55"/>
      <c r="DA48" s="55"/>
      <c r="DB48" s="55"/>
      <c r="DC48" s="55"/>
      <c r="DD48" s="55"/>
      <c r="DE48" s="55"/>
      <c r="DF48" s="55"/>
      <c r="DG48" s="55"/>
      <c r="DH48" s="55"/>
      <c r="DI48" s="55"/>
      <c r="DJ48" s="130"/>
      <c r="DK48" s="55"/>
      <c r="DL48" s="55"/>
      <c r="DM48" s="55"/>
      <c r="DN48" s="55"/>
      <c r="DO48" s="130"/>
      <c r="DP48" s="55"/>
      <c r="DQ48" s="55"/>
      <c r="DR48" s="128" t="s">
        <v>29</v>
      </c>
      <c r="DS48" s="128" t="s">
        <v>113</v>
      </c>
      <c r="DT48" s="128" t="str">
        <f t="shared" si="0"/>
        <v>УСН, от 5 до 7 млн. руб.</v>
      </c>
      <c r="DU48" s="145" t="s">
        <v>143</v>
      </c>
      <c r="DV48" s="65" t="s">
        <v>147</v>
      </c>
      <c r="DW48" s="147" t="s">
        <v>201</v>
      </c>
      <c r="DX48" s="147" t="s">
        <v>201</v>
      </c>
      <c r="DY48" s="55"/>
      <c r="DZ48" s="55"/>
      <c r="EA48" s="130"/>
      <c r="EB48" s="55"/>
      <c r="EC48" s="55"/>
      <c r="ED48" s="4"/>
      <c r="EE48" s="96"/>
      <c r="EF48" s="96"/>
      <c r="EG48" s="96"/>
      <c r="EH48" s="96"/>
      <c r="EI48" s="96"/>
      <c r="EJ48" s="96"/>
      <c r="EK48" s="55"/>
      <c r="EL48" s="4"/>
      <c r="EM48" s="271"/>
      <c r="EN48" s="271"/>
      <c r="EO48" s="271"/>
      <c r="EP48" s="271"/>
      <c r="EQ48" s="271"/>
      <c r="ER48" s="271"/>
      <c r="ES48" s="55"/>
      <c r="ET48" s="55"/>
      <c r="EU48" s="55"/>
      <c r="EV48" s="55"/>
      <c r="EW48" s="55"/>
      <c r="EX48" s="55"/>
      <c r="EY48" s="55"/>
      <c r="EZ48" s="55"/>
      <c r="FA48" s="55"/>
      <c r="FB48" s="55"/>
      <c r="FC48" s="55"/>
      <c r="FD48" s="55"/>
      <c r="FE48" s="130"/>
    </row>
    <row r="49" spans="1:161" ht="17.25" customHeight="1" x14ac:dyDescent="0.2">
      <c r="A49" s="55"/>
      <c r="B49" s="55"/>
      <c r="C49" s="55"/>
      <c r="D49" s="55"/>
      <c r="E49" s="55"/>
      <c r="F49" s="55"/>
      <c r="G49" s="55"/>
      <c r="W49" s="130"/>
      <c r="X49" s="55"/>
      <c r="Y49" s="55"/>
      <c r="Z49" s="55"/>
      <c r="AA49" s="55"/>
      <c r="AB49" s="55"/>
      <c r="AC49" s="55"/>
      <c r="AD49" s="55"/>
      <c r="AE49" s="130"/>
      <c r="AF49" s="55"/>
      <c r="AG49" s="283" t="s">
        <v>233</v>
      </c>
      <c r="AH49" s="283"/>
      <c r="AI49" s="283"/>
      <c r="AJ49" s="207"/>
      <c r="AK49" s="207"/>
      <c r="AL49" s="207"/>
      <c r="AM49" s="55"/>
      <c r="AN49" s="55"/>
      <c r="AO49" s="55"/>
      <c r="AP49" s="55"/>
      <c r="AQ49" s="55"/>
      <c r="AR49" s="55"/>
      <c r="AS49" s="55"/>
      <c r="AT49" s="55"/>
      <c r="AU49" s="55"/>
      <c r="AV49" s="55"/>
      <c r="AW49" s="55"/>
      <c r="AX49" s="55"/>
      <c r="AY49" s="55"/>
      <c r="AZ49" s="55"/>
      <c r="BA49" s="55"/>
      <c r="BB49" s="55"/>
      <c r="BC49" s="55"/>
      <c r="BD49" s="55"/>
      <c r="BE49" s="55"/>
      <c r="BF49" s="55"/>
      <c r="BG49" s="55"/>
      <c r="BH49" s="55"/>
      <c r="BI49" s="130"/>
      <c r="BJ49" s="55"/>
      <c r="BK49" s="55"/>
      <c r="BL49" s="130"/>
      <c r="BM49" s="55"/>
      <c r="BN49" s="55"/>
      <c r="BO49" s="128" t="s">
        <v>29</v>
      </c>
      <c r="BP49" s="128" t="s">
        <v>109</v>
      </c>
      <c r="BQ49" s="133" t="str">
        <f t="shared" si="1"/>
        <v>УСН, свыше 7 млн. руб.</v>
      </c>
      <c r="BR49" s="140" t="s">
        <v>123</v>
      </c>
      <c r="BS49" s="138" t="s">
        <v>152</v>
      </c>
      <c r="BT49" s="136" t="s">
        <v>156</v>
      </c>
      <c r="BU49" s="136" t="s">
        <v>156</v>
      </c>
      <c r="BV49" s="55"/>
      <c r="BW49" s="55"/>
      <c r="BX49" s="130"/>
      <c r="BY49" s="55"/>
      <c r="BZ49" s="55"/>
      <c r="CA49" s="4"/>
      <c r="CB49" s="273"/>
      <c r="CC49" s="273"/>
      <c r="CD49" s="273"/>
      <c r="CE49" s="273"/>
      <c r="CF49" s="273"/>
      <c r="CG49" s="273"/>
      <c r="CH49" s="55"/>
      <c r="CI49" s="55"/>
      <c r="CJ49" s="280"/>
      <c r="CK49" s="280"/>
      <c r="CL49" s="280"/>
      <c r="CM49" s="280"/>
      <c r="CN49" s="280"/>
      <c r="CO49" s="280"/>
      <c r="CP49" s="55"/>
      <c r="CQ49" s="4"/>
      <c r="CR49" s="273"/>
      <c r="CS49" s="273"/>
      <c r="CT49" s="273"/>
      <c r="CU49" s="273"/>
      <c r="CV49" s="273"/>
      <c r="CW49" s="273"/>
      <c r="CX49" s="55"/>
      <c r="CY49" s="55"/>
      <c r="CZ49" s="55"/>
      <c r="DA49" s="55"/>
      <c r="DB49" s="55"/>
      <c r="DC49" s="55"/>
      <c r="DD49" s="55"/>
      <c r="DE49" s="55"/>
      <c r="DF49" s="55"/>
      <c r="DG49" s="55"/>
      <c r="DH49" s="55"/>
      <c r="DI49" s="55"/>
      <c r="DJ49" s="130"/>
      <c r="DK49" s="55"/>
      <c r="DL49" s="55"/>
      <c r="DM49" s="55"/>
      <c r="DN49" s="55"/>
      <c r="DO49" s="130"/>
      <c r="DP49" s="55"/>
      <c r="DQ49" s="55"/>
      <c r="DR49" s="128" t="s">
        <v>29</v>
      </c>
      <c r="DS49" s="128" t="s">
        <v>109</v>
      </c>
      <c r="DT49" s="128" t="str">
        <f t="shared" si="0"/>
        <v>УСН, свыше 7 млн. руб.</v>
      </c>
      <c r="DU49" s="146" t="s">
        <v>123</v>
      </c>
      <c r="DV49" s="65" t="s">
        <v>147</v>
      </c>
      <c r="DW49" s="147" t="s">
        <v>201</v>
      </c>
      <c r="DX49" s="147" t="s">
        <v>201</v>
      </c>
      <c r="DY49" s="55"/>
      <c r="DZ49" s="55"/>
      <c r="EA49" s="130"/>
      <c r="EB49" s="55"/>
      <c r="EC49" s="55"/>
      <c r="ED49" s="54" t="s">
        <v>65</v>
      </c>
      <c r="EE49" s="271" t="s">
        <v>91</v>
      </c>
      <c r="EF49" s="271"/>
      <c r="EG49" s="271"/>
      <c r="EH49" s="271"/>
      <c r="EI49" s="271"/>
      <c r="EJ49" s="271"/>
      <c r="EK49" s="55"/>
      <c r="EL49" s="54" t="s">
        <v>65</v>
      </c>
      <c r="EM49" s="271" t="s">
        <v>91</v>
      </c>
      <c r="EN49" s="271"/>
      <c r="EO49" s="271"/>
      <c r="EP49" s="271"/>
      <c r="EQ49" s="271"/>
      <c r="ER49" s="271"/>
      <c r="ES49" s="55"/>
      <c r="ET49" s="55"/>
      <c r="EU49" s="55"/>
      <c r="EV49" s="55"/>
      <c r="EW49" s="55"/>
      <c r="EX49" s="55"/>
      <c r="EY49" s="55"/>
      <c r="EZ49" s="55"/>
      <c r="FA49" s="55"/>
      <c r="FB49" s="55"/>
      <c r="FC49" s="55"/>
      <c r="FD49" s="55"/>
      <c r="FE49" s="130"/>
    </row>
    <row r="50" spans="1:161" ht="17.25" customHeight="1" x14ac:dyDescent="0.2">
      <c r="A50" s="55"/>
      <c r="B50" s="148" t="s">
        <v>173</v>
      </c>
      <c r="C50" s="55"/>
      <c r="D50" s="55"/>
      <c r="E50" s="55"/>
      <c r="F50" s="55"/>
      <c r="G50" s="55"/>
      <c r="W50" s="130"/>
      <c r="X50" s="55"/>
      <c r="Y50" s="55"/>
      <c r="Z50" s="55"/>
      <c r="AA50" s="55"/>
      <c r="AB50" s="55"/>
      <c r="AC50" s="55"/>
      <c r="AD50" s="55"/>
      <c r="AE50" s="130"/>
      <c r="AF50" s="55"/>
      <c r="AG50" s="271" t="s">
        <v>230</v>
      </c>
      <c r="AH50" s="271"/>
      <c r="AI50" s="271"/>
      <c r="AJ50" s="271"/>
      <c r="AK50" s="271"/>
      <c r="AL50" s="271"/>
      <c r="AM50" s="55"/>
      <c r="AN50" s="55"/>
      <c r="AO50" s="55"/>
      <c r="AP50" s="55"/>
      <c r="AQ50" s="55"/>
      <c r="AR50" s="55"/>
      <c r="AS50" s="55"/>
      <c r="AT50" s="55"/>
      <c r="AU50" s="55"/>
      <c r="AV50" s="55"/>
      <c r="AW50" s="55"/>
      <c r="AX50" s="55"/>
      <c r="AY50" s="55"/>
      <c r="AZ50" s="55"/>
      <c r="BA50" s="55"/>
      <c r="BB50" s="55"/>
      <c r="BC50" s="55"/>
      <c r="BD50" s="55"/>
      <c r="BE50" s="55"/>
      <c r="BF50" s="55"/>
      <c r="BG50" s="55"/>
      <c r="BH50" s="55"/>
      <c r="BI50" s="130"/>
      <c r="BJ50" s="55"/>
      <c r="BK50" s="55"/>
      <c r="BL50" s="130"/>
      <c r="BM50" s="55"/>
      <c r="BN50" s="55"/>
      <c r="BO50" s="128" t="s">
        <v>30</v>
      </c>
      <c r="BP50" s="128" t="s">
        <v>112</v>
      </c>
      <c r="BQ50" s="133" t="str">
        <f t="shared" si="1"/>
        <v>ЕНВД, до 5 млн. руб.</v>
      </c>
      <c r="BR50" s="139" t="s">
        <v>193</v>
      </c>
      <c r="BS50" s="137" t="s">
        <v>198</v>
      </c>
      <c r="BT50" s="136" t="s">
        <v>199</v>
      </c>
      <c r="BU50" s="136" t="s">
        <v>199</v>
      </c>
      <c r="BV50" s="55"/>
      <c r="BW50" s="55"/>
      <c r="BX50" s="130"/>
      <c r="BY50" s="55"/>
      <c r="BZ50" s="55"/>
      <c r="CA50" s="4"/>
      <c r="CB50" s="4"/>
      <c r="CC50" s="4"/>
      <c r="CD50" s="4"/>
      <c r="CE50" s="4"/>
      <c r="CF50" s="4"/>
      <c r="CG50" s="4"/>
      <c r="CH50" s="55"/>
      <c r="CI50" s="55"/>
      <c r="CJ50" s="55"/>
      <c r="CK50" s="55"/>
      <c r="CL50" s="55"/>
      <c r="CM50" s="55"/>
      <c r="CN50" s="55"/>
      <c r="CO50" s="55"/>
      <c r="CP50" s="55"/>
      <c r="CQ50" s="54" t="s">
        <v>66</v>
      </c>
      <c r="CR50" s="271" t="s">
        <v>107</v>
      </c>
      <c r="CS50" s="271"/>
      <c r="CT50" s="271"/>
      <c r="CU50" s="271"/>
      <c r="CV50" s="271"/>
      <c r="CW50" s="271"/>
      <c r="CX50" s="55"/>
      <c r="CY50" s="55"/>
      <c r="CZ50" s="55"/>
      <c r="DA50" s="55"/>
      <c r="DB50" s="55"/>
      <c r="DC50" s="55"/>
      <c r="DD50" s="55"/>
      <c r="DE50" s="55"/>
      <c r="DF50" s="55"/>
      <c r="DG50" s="55"/>
      <c r="DH50" s="55"/>
      <c r="DI50" s="55"/>
      <c r="DJ50" s="130"/>
      <c r="DK50" s="55"/>
      <c r="DL50" s="55"/>
      <c r="DM50" s="55"/>
      <c r="DN50" s="55"/>
      <c r="DO50" s="130"/>
      <c r="DP50" s="55"/>
      <c r="DQ50" s="55"/>
      <c r="DR50" s="128" t="s">
        <v>30</v>
      </c>
      <c r="DS50" s="128" t="s">
        <v>112</v>
      </c>
      <c r="DT50" s="128" t="str">
        <f t="shared" si="0"/>
        <v>ЕНВД, до 5 млн. руб.</v>
      </c>
      <c r="DU50" s="145" t="s">
        <v>144</v>
      </c>
      <c r="DV50" s="65" t="s">
        <v>148</v>
      </c>
      <c r="DW50" s="147" t="s">
        <v>159</v>
      </c>
      <c r="DX50" s="147" t="s">
        <v>159</v>
      </c>
      <c r="DY50" s="55"/>
      <c r="DZ50" s="55"/>
      <c r="EA50" s="130"/>
      <c r="EB50" s="55"/>
      <c r="EC50" s="55"/>
      <c r="ED50" s="4"/>
      <c r="EE50" s="271"/>
      <c r="EF50" s="271"/>
      <c r="EG50" s="271"/>
      <c r="EH50" s="271"/>
      <c r="EI50" s="271"/>
      <c r="EJ50" s="271"/>
      <c r="EK50" s="55"/>
      <c r="EL50" s="4"/>
      <c r="EM50" s="271"/>
      <c r="EN50" s="271"/>
      <c r="EO50" s="271"/>
      <c r="EP50" s="271"/>
      <c r="EQ50" s="271"/>
      <c r="ER50" s="271"/>
      <c r="ES50" s="55"/>
      <c r="ET50" s="55"/>
      <c r="EU50" s="55"/>
      <c r="EV50" s="55"/>
      <c r="EW50" s="55"/>
      <c r="EX50" s="55"/>
      <c r="EY50" s="55"/>
      <c r="EZ50" s="55"/>
      <c r="FA50" s="55"/>
      <c r="FB50" s="55"/>
      <c r="FC50" s="55"/>
      <c r="FD50" s="55"/>
      <c r="FE50" s="130"/>
    </row>
    <row r="51" spans="1:161" ht="17.25" customHeight="1" x14ac:dyDescent="0.2">
      <c r="A51" s="55"/>
      <c r="B51" s="149" t="str">
        <f>INDEX(Z44:AA45,MATCH(D43,Y44:Y45,0),MATCH(D45,Z43:AA43,0))</f>
        <v>AN42:AS52</v>
      </c>
      <c r="C51" s="55"/>
      <c r="D51" s="55"/>
      <c r="E51" s="55"/>
      <c r="F51" s="55"/>
      <c r="G51" s="55"/>
      <c r="W51" s="130"/>
      <c r="X51" s="55"/>
      <c r="Y51" s="55"/>
      <c r="Z51" s="55"/>
      <c r="AA51" s="55"/>
      <c r="AB51" s="55"/>
      <c r="AC51" s="55"/>
      <c r="AD51" s="55"/>
      <c r="AE51" s="130"/>
      <c r="AF51" s="55"/>
      <c r="AG51" s="55"/>
      <c r="AH51" s="55"/>
      <c r="AI51" s="55"/>
      <c r="AJ51" s="55"/>
      <c r="AK51" s="55"/>
      <c r="AL51" s="55"/>
      <c r="AM51" s="55"/>
      <c r="AN51" s="55"/>
      <c r="AO51" s="55"/>
      <c r="AP51" s="55"/>
      <c r="AQ51" s="55"/>
      <c r="AR51" s="55"/>
      <c r="AS51" s="55"/>
      <c r="AT51" s="55"/>
      <c r="AU51" s="55"/>
      <c r="AV51" s="55"/>
      <c r="AW51" s="55"/>
      <c r="AX51" s="55"/>
      <c r="AY51" s="55"/>
      <c r="AZ51" s="55"/>
      <c r="BA51" s="55"/>
      <c r="BB51" s="55"/>
      <c r="BC51" s="55"/>
      <c r="BD51" s="55"/>
      <c r="BE51" s="55"/>
      <c r="BF51" s="55"/>
      <c r="BG51" s="55"/>
      <c r="BH51" s="55"/>
      <c r="BI51" s="130"/>
      <c r="BJ51" s="55"/>
      <c r="BK51" s="55"/>
      <c r="BL51" s="130"/>
      <c r="BM51" s="55"/>
      <c r="BN51" s="55"/>
      <c r="BO51" s="128" t="s">
        <v>30</v>
      </c>
      <c r="BP51" s="128" t="s">
        <v>113</v>
      </c>
      <c r="BQ51" s="133" t="str">
        <f t="shared" si="1"/>
        <v>ЕНВД, от 5 до 7 млн. руб.</v>
      </c>
      <c r="BR51" s="139" t="s">
        <v>193</v>
      </c>
      <c r="BS51" s="138" t="s">
        <v>153</v>
      </c>
      <c r="BT51" s="136" t="s">
        <v>199</v>
      </c>
      <c r="BU51" s="136" t="s">
        <v>199</v>
      </c>
      <c r="BV51" s="55"/>
      <c r="BW51" s="55"/>
      <c r="BX51" s="130"/>
      <c r="BY51" s="55"/>
      <c r="BZ51" s="55"/>
      <c r="CA51" s="4"/>
      <c r="CB51" s="4"/>
      <c r="CC51" s="4"/>
      <c r="CD51" s="4"/>
      <c r="CE51" s="4"/>
      <c r="CF51" s="4"/>
      <c r="CG51" s="4"/>
      <c r="CH51" s="55"/>
      <c r="CI51" s="55"/>
      <c r="CJ51" s="55"/>
      <c r="CK51" s="55"/>
      <c r="CL51" s="55"/>
      <c r="CM51" s="55"/>
      <c r="CN51" s="55"/>
      <c r="CO51" s="55"/>
      <c r="CP51" s="55"/>
      <c r="CQ51" s="4"/>
      <c r="CR51" s="271"/>
      <c r="CS51" s="271"/>
      <c r="CT51" s="271"/>
      <c r="CU51" s="271"/>
      <c r="CV51" s="271"/>
      <c r="CW51" s="271"/>
      <c r="CX51" s="55"/>
      <c r="CY51" s="55"/>
      <c r="CZ51" s="55"/>
      <c r="DA51" s="55"/>
      <c r="DB51" s="55"/>
      <c r="DC51" s="55"/>
      <c r="DD51" s="55"/>
      <c r="DE51" s="55"/>
      <c r="DF51" s="55"/>
      <c r="DG51" s="55"/>
      <c r="DH51" s="55"/>
      <c r="DI51" s="55"/>
      <c r="DJ51" s="130"/>
      <c r="DK51" s="55"/>
      <c r="DL51" s="55"/>
      <c r="DM51" s="55"/>
      <c r="DN51" s="55"/>
      <c r="DO51" s="130"/>
      <c r="DP51" s="55"/>
      <c r="DQ51" s="55"/>
      <c r="DR51" s="128" t="s">
        <v>30</v>
      </c>
      <c r="DS51" s="128" t="s">
        <v>113</v>
      </c>
      <c r="DT51" s="128" t="str">
        <f t="shared" si="0"/>
        <v>ЕНВД, от 5 до 7 млн. руб.</v>
      </c>
      <c r="DU51" s="145" t="s">
        <v>144</v>
      </c>
      <c r="DV51" s="65" t="s">
        <v>148</v>
      </c>
      <c r="DW51" s="147" t="s">
        <v>159</v>
      </c>
      <c r="DX51" s="147" t="s">
        <v>159</v>
      </c>
      <c r="DY51" s="55"/>
      <c r="DZ51" s="55"/>
      <c r="EA51" s="130"/>
      <c r="EB51" s="55"/>
      <c r="EC51" s="4"/>
      <c r="ED51" s="4"/>
      <c r="EE51" s="96"/>
      <c r="EF51" s="96"/>
      <c r="EG51" s="96"/>
      <c r="EH51" s="96"/>
      <c r="EI51" s="96"/>
      <c r="EJ51" s="96"/>
      <c r="EK51" s="55"/>
      <c r="EL51" s="54"/>
      <c r="EM51" s="96"/>
      <c r="EN51" s="96"/>
      <c r="EO51" s="96"/>
      <c r="EP51" s="96"/>
      <c r="EQ51" s="96"/>
      <c r="ER51" s="96"/>
      <c r="ES51" s="55"/>
      <c r="ET51" s="55"/>
      <c r="EU51" s="55"/>
      <c r="EV51" s="55"/>
      <c r="EW51" s="55"/>
      <c r="EX51" s="55"/>
      <c r="EY51" s="55"/>
      <c r="EZ51" s="55"/>
      <c r="FA51" s="55"/>
      <c r="FB51" s="55"/>
      <c r="FC51" s="55"/>
      <c r="FD51" s="55"/>
      <c r="FE51" s="130"/>
    </row>
    <row r="52" spans="1:161" ht="17.25" customHeight="1" x14ac:dyDescent="0.2">
      <c r="A52" s="55"/>
      <c r="C52" s="55"/>
      <c r="D52" s="55"/>
      <c r="E52" s="55"/>
      <c r="F52" s="55"/>
      <c r="G52" s="55"/>
      <c r="W52" s="130"/>
      <c r="X52" s="55"/>
      <c r="Y52" s="55"/>
      <c r="Z52" s="55"/>
      <c r="AA52" s="55"/>
      <c r="AB52" s="55"/>
      <c r="AC52" s="55"/>
      <c r="AD52" s="55"/>
      <c r="AE52" s="130"/>
      <c r="AF52" s="55"/>
      <c r="AG52" s="55"/>
      <c r="AH52" s="55"/>
      <c r="AI52" s="55"/>
      <c r="AJ52" s="55"/>
      <c r="AK52" s="55"/>
      <c r="AL52" s="55"/>
      <c r="AM52" s="55"/>
      <c r="AN52" s="55"/>
      <c r="AO52" s="55"/>
      <c r="AP52" s="55"/>
      <c r="AQ52" s="55"/>
      <c r="AR52" s="55"/>
      <c r="AS52" s="55"/>
      <c r="AT52" s="55"/>
      <c r="AU52" s="55"/>
      <c r="AV52" s="55"/>
      <c r="AW52" s="55"/>
      <c r="AX52" s="55"/>
      <c r="AY52" s="55"/>
      <c r="AZ52" s="55"/>
      <c r="BA52" s="55"/>
      <c r="BB52" s="55"/>
      <c r="BC52" s="55"/>
      <c r="BD52" s="55"/>
      <c r="BE52" s="55"/>
      <c r="BF52" s="55"/>
      <c r="BG52" s="55"/>
      <c r="BH52" s="55"/>
      <c r="BI52" s="130"/>
      <c r="BJ52" s="55"/>
      <c r="BK52" s="55"/>
      <c r="BL52" s="130"/>
      <c r="BM52" s="55"/>
      <c r="BN52" s="55"/>
      <c r="BO52" s="128" t="s">
        <v>30</v>
      </c>
      <c r="BP52" s="128" t="s">
        <v>109</v>
      </c>
      <c r="BQ52" s="133" t="str">
        <f t="shared" si="1"/>
        <v>ЕНВД, свыше 7 млн. руб.</v>
      </c>
      <c r="BR52" s="140" t="s">
        <v>123</v>
      </c>
      <c r="BS52" s="138" t="s">
        <v>153</v>
      </c>
      <c r="BT52" s="136" t="s">
        <v>199</v>
      </c>
      <c r="BU52" s="136" t="s">
        <v>199</v>
      </c>
      <c r="BV52" s="55"/>
      <c r="BW52" s="55"/>
      <c r="BX52" s="130"/>
      <c r="BY52" s="55"/>
      <c r="BZ52" s="55"/>
      <c r="CA52" s="4"/>
      <c r="CB52" s="4"/>
      <c r="CC52" s="4"/>
      <c r="CD52" s="4"/>
      <c r="CE52" s="4"/>
      <c r="CF52" s="4"/>
      <c r="CG52" s="4"/>
      <c r="CH52" s="55"/>
      <c r="CI52" s="55"/>
      <c r="CJ52" s="55"/>
      <c r="CK52" s="55"/>
      <c r="CL52" s="55"/>
      <c r="CM52" s="55"/>
      <c r="CN52" s="55"/>
      <c r="CO52" s="55"/>
      <c r="CP52" s="55"/>
      <c r="CQ52" s="54"/>
      <c r="CR52" s="271"/>
      <c r="CS52" s="271"/>
      <c r="CT52" s="271"/>
      <c r="CU52" s="271"/>
      <c r="CV52" s="271"/>
      <c r="CW52" s="271"/>
      <c r="CX52" s="55"/>
      <c r="CY52" s="55"/>
      <c r="CZ52" s="55"/>
      <c r="DA52" s="55"/>
      <c r="DB52" s="55"/>
      <c r="DC52" s="55"/>
      <c r="DD52" s="55"/>
      <c r="DE52" s="55"/>
      <c r="DF52" s="55"/>
      <c r="DG52" s="55"/>
      <c r="DH52" s="55"/>
      <c r="DI52" s="55"/>
      <c r="DJ52" s="130"/>
      <c r="DK52" s="55"/>
      <c r="DL52" s="55"/>
      <c r="DM52" s="55"/>
      <c r="DN52" s="55"/>
      <c r="DO52" s="130"/>
      <c r="DP52" s="55"/>
      <c r="DQ52" s="55"/>
      <c r="DR52" s="128" t="s">
        <v>30</v>
      </c>
      <c r="DS52" s="128" t="s">
        <v>109</v>
      </c>
      <c r="DT52" s="128" t="str">
        <f t="shared" si="0"/>
        <v>ЕНВД, свыше 7 млн. руб.</v>
      </c>
      <c r="DU52" s="146" t="s">
        <v>123</v>
      </c>
      <c r="DV52" s="65" t="s">
        <v>148</v>
      </c>
      <c r="DW52" s="147" t="s">
        <v>159</v>
      </c>
      <c r="DX52" s="147" t="s">
        <v>159</v>
      </c>
      <c r="DY52" s="55"/>
      <c r="DZ52" s="55"/>
      <c r="EA52" s="130"/>
      <c r="EB52" s="55"/>
      <c r="EC52" s="55"/>
      <c r="ED52" s="4"/>
      <c r="EE52" s="96"/>
      <c r="EF52" s="96"/>
      <c r="EG52" s="96"/>
      <c r="EH52" s="96"/>
      <c r="EI52" s="96"/>
      <c r="EJ52" s="96"/>
      <c r="EK52" s="55"/>
      <c r="EL52" s="54" t="s">
        <v>66</v>
      </c>
      <c r="EM52" s="277" t="s">
        <v>107</v>
      </c>
      <c r="EN52" s="277"/>
      <c r="EO52" s="277"/>
      <c r="EP52" s="277"/>
      <c r="EQ52" s="277"/>
      <c r="ER52" s="277"/>
      <c r="ES52" s="55"/>
      <c r="ET52" s="55"/>
      <c r="EU52" s="55"/>
      <c r="EV52" s="55"/>
      <c r="EW52" s="55"/>
      <c r="EX52" s="55"/>
      <c r="EY52" s="55"/>
      <c r="EZ52" s="55"/>
      <c r="FA52" s="55"/>
      <c r="FB52" s="55"/>
      <c r="FC52" s="55"/>
      <c r="FD52" s="55"/>
      <c r="FE52" s="130"/>
    </row>
    <row r="53" spans="1:161" ht="17.25" customHeight="1" x14ac:dyDescent="0.2">
      <c r="A53" s="55"/>
      <c r="B53" s="148" t="s">
        <v>174</v>
      </c>
      <c r="C53" s="55"/>
      <c r="D53" s="55"/>
      <c r="E53" s="55"/>
      <c r="F53" s="55"/>
      <c r="G53" s="55"/>
      <c r="H53" s="124"/>
      <c r="I53" s="124"/>
      <c r="J53" s="124"/>
      <c r="K53" s="124"/>
      <c r="L53" s="124"/>
      <c r="M53" s="124"/>
      <c r="N53" s="124"/>
      <c r="O53" s="124"/>
      <c r="P53" s="124"/>
      <c r="W53" s="130"/>
      <c r="X53" s="55"/>
      <c r="Y53" s="55"/>
      <c r="Z53" s="55"/>
      <c r="AA53" s="55"/>
      <c r="AB53" s="55"/>
      <c r="AC53" s="55"/>
      <c r="AD53" s="55"/>
      <c r="AE53" s="130"/>
      <c r="AF53" s="55"/>
      <c r="AG53" s="55"/>
      <c r="AH53" s="55"/>
      <c r="AI53" s="55"/>
      <c r="AJ53" s="55"/>
      <c r="AK53" s="55"/>
      <c r="AL53" s="55"/>
      <c r="AM53" s="55"/>
      <c r="AN53" s="55"/>
      <c r="AO53" s="55"/>
      <c r="AP53" s="55"/>
      <c r="AQ53" s="55"/>
      <c r="AR53" s="55"/>
      <c r="AS53" s="55"/>
      <c r="AT53" s="55"/>
      <c r="AU53" s="55"/>
      <c r="AV53" s="55"/>
      <c r="AW53" s="55"/>
      <c r="AX53" s="55"/>
      <c r="AY53" s="55"/>
      <c r="AZ53" s="55"/>
      <c r="BA53" s="55"/>
      <c r="BB53" s="55"/>
      <c r="BC53" s="55"/>
      <c r="BD53" s="55"/>
      <c r="BE53" s="55"/>
      <c r="BF53" s="55"/>
      <c r="BG53" s="55"/>
      <c r="BH53" s="55"/>
      <c r="BI53" s="130"/>
      <c r="BJ53" s="55"/>
      <c r="BK53" s="55"/>
      <c r="BL53" s="130"/>
      <c r="BM53" s="55"/>
      <c r="BN53" s="55"/>
      <c r="BO53" s="128" t="s">
        <v>71</v>
      </c>
      <c r="BP53" s="128" t="s">
        <v>112</v>
      </c>
      <c r="BQ53" s="133" t="str">
        <f t="shared" si="1"/>
        <v>Патент, до 5 млн. руб.</v>
      </c>
      <c r="BR53" s="139" t="s">
        <v>194</v>
      </c>
      <c r="BS53" s="137" t="s">
        <v>197</v>
      </c>
      <c r="BT53" s="136" t="s">
        <v>200</v>
      </c>
      <c r="BU53" s="136" t="s">
        <v>200</v>
      </c>
      <c r="BV53" s="55"/>
      <c r="BW53" s="55"/>
      <c r="BX53" s="130"/>
      <c r="BY53" s="55"/>
      <c r="BZ53" s="55"/>
      <c r="CA53" s="4"/>
      <c r="CB53" s="4"/>
      <c r="CC53" s="4"/>
      <c r="CD53" s="4"/>
      <c r="CE53" s="4"/>
      <c r="CF53" s="4"/>
      <c r="CG53" s="4"/>
      <c r="CH53" s="55"/>
      <c r="CI53" s="55"/>
      <c r="CJ53" s="55"/>
      <c r="CK53" s="55"/>
      <c r="CL53" s="55"/>
      <c r="CM53" s="55"/>
      <c r="CN53" s="55"/>
      <c r="CO53" s="55"/>
      <c r="CP53" s="55"/>
      <c r="CQ53" s="55"/>
      <c r="CR53" s="55"/>
      <c r="CS53" s="55"/>
      <c r="CT53" s="55"/>
      <c r="CU53" s="55"/>
      <c r="CV53" s="55"/>
      <c r="CW53" s="55"/>
      <c r="CX53" s="55"/>
      <c r="CY53" s="55"/>
      <c r="CZ53" s="55"/>
      <c r="DA53" s="55"/>
      <c r="DB53" s="55"/>
      <c r="DC53" s="55"/>
      <c r="DD53" s="55"/>
      <c r="DE53" s="55"/>
      <c r="DF53" s="55"/>
      <c r="DG53" s="55"/>
      <c r="DH53" s="55"/>
      <c r="DI53" s="55"/>
      <c r="DJ53" s="130"/>
      <c r="DK53" s="55"/>
      <c r="DL53" s="55"/>
      <c r="DM53" s="55"/>
      <c r="DN53" s="55"/>
      <c r="DO53" s="130"/>
      <c r="DP53" s="55"/>
      <c r="DQ53" s="55"/>
      <c r="DR53" s="128" t="s">
        <v>71</v>
      </c>
      <c r="DS53" s="128" t="s">
        <v>112</v>
      </c>
      <c r="DT53" s="128" t="str">
        <f t="shared" si="0"/>
        <v>Патент, до 5 млн. руб.</v>
      </c>
      <c r="DU53" s="145" t="s">
        <v>145</v>
      </c>
      <c r="DV53" s="65" t="s">
        <v>157</v>
      </c>
      <c r="DW53" s="147" t="s">
        <v>160</v>
      </c>
      <c r="DX53" s="147" t="s">
        <v>160</v>
      </c>
      <c r="DY53" s="55"/>
      <c r="DZ53" s="55"/>
      <c r="EA53" s="130"/>
      <c r="EB53" s="55"/>
      <c r="EC53" s="55"/>
      <c r="ED53" s="4"/>
      <c r="EE53" s="96"/>
      <c r="EF53" s="96"/>
      <c r="EG53" s="96"/>
      <c r="EH53" s="96"/>
      <c r="EI53" s="96"/>
      <c r="EJ53" s="96"/>
      <c r="EK53" s="55"/>
      <c r="EL53" s="4"/>
      <c r="EM53" s="277"/>
      <c r="EN53" s="277"/>
      <c r="EO53" s="277"/>
      <c r="EP53" s="277"/>
      <c r="EQ53" s="277"/>
      <c r="ER53" s="277"/>
      <c r="ES53" s="55"/>
      <c r="ET53" s="55"/>
      <c r="EU53" s="55"/>
      <c r="EV53" s="55"/>
      <c r="EW53" s="55"/>
      <c r="EX53" s="55"/>
      <c r="EY53" s="55"/>
      <c r="EZ53" s="55"/>
      <c r="FA53" s="55"/>
      <c r="FB53" s="55"/>
      <c r="FC53" s="55"/>
      <c r="FD53" s="55"/>
      <c r="FE53" s="130"/>
    </row>
    <row r="54" spans="1:161" ht="17.25" customHeight="1" x14ac:dyDescent="0.2">
      <c r="A54" s="55"/>
      <c r="B54" s="149" t="e">
        <f>IF(D43="ИП",C57,C58)</f>
        <v>#N/A</v>
      </c>
      <c r="C54" s="55"/>
      <c r="D54" s="55"/>
      <c r="E54" s="55"/>
      <c r="F54" s="55"/>
      <c r="G54" s="55"/>
      <c r="H54" s="124"/>
      <c r="I54" s="124"/>
      <c r="J54" s="124"/>
      <c r="K54" s="124"/>
      <c r="L54" s="124"/>
      <c r="M54" s="124"/>
      <c r="N54" s="124"/>
      <c r="O54" s="124"/>
      <c r="P54" s="124"/>
      <c r="W54" s="130"/>
      <c r="X54" s="55"/>
      <c r="Y54" s="55"/>
      <c r="Z54" s="55"/>
      <c r="AA54" s="55"/>
      <c r="AB54" s="55"/>
      <c r="AC54" s="55"/>
      <c r="AD54" s="55"/>
      <c r="AE54" s="130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  <c r="BI54" s="130"/>
      <c r="BJ54" s="55"/>
      <c r="BK54" s="55"/>
      <c r="BL54" s="130"/>
      <c r="BM54" s="55"/>
      <c r="BN54" s="55"/>
      <c r="BO54" s="128" t="s">
        <v>71</v>
      </c>
      <c r="BP54" s="128" t="s">
        <v>113</v>
      </c>
      <c r="BQ54" s="133" t="str">
        <f t="shared" si="1"/>
        <v>Патент, от 5 до 7 млн. руб.</v>
      </c>
      <c r="BR54" s="139" t="s">
        <v>194</v>
      </c>
      <c r="BS54" s="138" t="s">
        <v>154</v>
      </c>
      <c r="BT54" s="136" t="s">
        <v>200</v>
      </c>
      <c r="BU54" s="136" t="s">
        <v>200</v>
      </c>
      <c r="BV54" s="55"/>
      <c r="BW54" s="55"/>
      <c r="BX54" s="130"/>
      <c r="BY54" s="55"/>
      <c r="BZ54" s="55"/>
      <c r="CA54" s="4"/>
      <c r="CB54" s="4"/>
      <c r="CC54" s="4"/>
      <c r="CD54" s="4"/>
      <c r="CE54" s="4"/>
      <c r="CF54" s="4"/>
      <c r="CG54" s="4"/>
      <c r="CH54" s="55"/>
      <c r="CI54" s="55"/>
      <c r="CJ54" s="55"/>
      <c r="CK54" s="55"/>
      <c r="CL54" s="55"/>
      <c r="CM54" s="55"/>
      <c r="CN54" s="55"/>
      <c r="CO54" s="55"/>
      <c r="CP54" s="55"/>
      <c r="CQ54" s="55"/>
      <c r="CR54" s="55"/>
      <c r="CS54" s="55"/>
      <c r="CT54" s="55"/>
      <c r="CU54" s="55"/>
      <c r="CV54" s="55"/>
      <c r="CW54" s="55"/>
      <c r="CX54" s="55"/>
      <c r="CY54" s="55"/>
      <c r="CZ54" s="55"/>
      <c r="DA54" s="55"/>
      <c r="DB54" s="55"/>
      <c r="DC54" s="55"/>
      <c r="DD54" s="55"/>
      <c r="DE54" s="55"/>
      <c r="DF54" s="55"/>
      <c r="DG54" s="55"/>
      <c r="DH54" s="55"/>
      <c r="DI54" s="55"/>
      <c r="DJ54" s="130"/>
      <c r="DK54" s="55"/>
      <c r="DL54" s="55"/>
      <c r="DM54" s="55"/>
      <c r="DN54" s="55"/>
      <c r="DO54" s="130"/>
      <c r="DP54" s="55"/>
      <c r="DQ54" s="55"/>
      <c r="DR54" s="128" t="s">
        <v>71</v>
      </c>
      <c r="DS54" s="128" t="s">
        <v>113</v>
      </c>
      <c r="DT54" s="128" t="str">
        <f t="shared" si="0"/>
        <v>Патент, от 5 до 7 млн. руб.</v>
      </c>
      <c r="DU54" s="145" t="s">
        <v>145</v>
      </c>
      <c r="DV54" s="65" t="s">
        <v>157</v>
      </c>
      <c r="DW54" s="147" t="s">
        <v>160</v>
      </c>
      <c r="DX54" s="147" t="s">
        <v>160</v>
      </c>
      <c r="DY54" s="55"/>
      <c r="DZ54" s="55"/>
      <c r="EA54" s="130"/>
      <c r="EB54" s="55"/>
      <c r="EC54" s="55"/>
      <c r="ED54" s="4"/>
      <c r="EE54" s="96"/>
      <c r="EF54" s="96"/>
      <c r="EG54" s="96"/>
      <c r="EH54" s="96"/>
      <c r="EI54" s="96"/>
      <c r="EJ54" s="96"/>
      <c r="EK54" s="55"/>
      <c r="EL54" s="117"/>
      <c r="EM54" s="277"/>
      <c r="EN54" s="277"/>
      <c r="EO54" s="277"/>
      <c r="EP54" s="277"/>
      <c r="EQ54" s="277"/>
      <c r="ER54" s="277"/>
      <c r="ES54" s="55"/>
      <c r="ET54" s="55"/>
      <c r="EU54" s="55"/>
      <c r="EV54" s="55"/>
      <c r="EW54" s="55"/>
      <c r="EX54" s="55"/>
      <c r="EY54" s="55"/>
      <c r="EZ54" s="55"/>
      <c r="FA54" s="55"/>
      <c r="FB54" s="55"/>
      <c r="FC54" s="55"/>
      <c r="FD54" s="55"/>
      <c r="FE54" s="130"/>
    </row>
    <row r="55" spans="1:161" ht="17.25" customHeight="1" x14ac:dyDescent="0.2">
      <c r="A55" s="55"/>
      <c r="B55" s="55"/>
      <c r="C55" s="55"/>
      <c r="D55" s="55"/>
      <c r="E55" s="55"/>
      <c r="F55" s="55"/>
      <c r="G55" s="55"/>
      <c r="H55" s="124"/>
      <c r="I55" s="124"/>
      <c r="J55" s="124"/>
      <c r="K55" s="124"/>
      <c r="L55" s="124"/>
      <c r="M55" s="124"/>
      <c r="N55" s="124"/>
      <c r="O55" s="124"/>
      <c r="P55" s="124"/>
      <c r="W55" s="130"/>
      <c r="X55" s="55"/>
      <c r="Y55" s="55"/>
      <c r="Z55" s="55"/>
      <c r="AA55" s="55"/>
      <c r="AB55" s="55"/>
      <c r="AC55" s="55"/>
      <c r="AD55" s="55"/>
      <c r="AE55" s="130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  <c r="BI55" s="130"/>
      <c r="BJ55" s="55"/>
      <c r="BK55" s="55"/>
      <c r="BL55" s="130"/>
      <c r="BM55" s="55"/>
      <c r="BN55" s="55"/>
      <c r="BO55" s="128" t="s">
        <v>71</v>
      </c>
      <c r="BP55" s="128" t="s">
        <v>109</v>
      </c>
      <c r="BQ55" s="133" t="str">
        <f t="shared" si="1"/>
        <v>Патент, свыше 7 млн. руб.</v>
      </c>
      <c r="BR55" s="140" t="s">
        <v>123</v>
      </c>
      <c r="BS55" s="138" t="s">
        <v>154</v>
      </c>
      <c r="BT55" s="136" t="s">
        <v>200</v>
      </c>
      <c r="BU55" s="136" t="s">
        <v>200</v>
      </c>
      <c r="BV55" s="55"/>
      <c r="BW55" s="55"/>
      <c r="BX55" s="130"/>
      <c r="BY55" s="55"/>
      <c r="BZ55" s="55"/>
      <c r="CA55" s="4"/>
      <c r="CB55" s="4"/>
      <c r="CC55" s="4"/>
      <c r="CD55" s="4"/>
      <c r="CE55" s="4"/>
      <c r="CF55" s="4"/>
      <c r="CG55" s="4"/>
      <c r="CH55" s="55"/>
      <c r="CI55" s="55"/>
      <c r="CJ55" s="55"/>
      <c r="CK55" s="55"/>
      <c r="CL55" s="55"/>
      <c r="CM55" s="55"/>
      <c r="CN55" s="55"/>
      <c r="CO55" s="55"/>
      <c r="CP55" s="55"/>
      <c r="CQ55" s="55"/>
      <c r="CR55" s="55"/>
      <c r="CS55" s="55"/>
      <c r="CT55" s="55"/>
      <c r="CU55" s="55"/>
      <c r="CV55" s="55"/>
      <c r="CW55" s="55"/>
      <c r="CX55" s="55"/>
      <c r="CY55" s="55"/>
      <c r="CZ55" s="55"/>
      <c r="DA55" s="55"/>
      <c r="DB55" s="55"/>
      <c r="DC55" s="55"/>
      <c r="DD55" s="55"/>
      <c r="DE55" s="55"/>
      <c r="DF55" s="55"/>
      <c r="DG55" s="55"/>
      <c r="DH55" s="55"/>
      <c r="DI55" s="55"/>
      <c r="DJ55" s="130"/>
      <c r="DK55" s="55"/>
      <c r="DL55" s="55"/>
      <c r="DM55" s="55"/>
      <c r="DN55" s="55"/>
      <c r="DO55" s="130"/>
      <c r="DP55" s="55"/>
      <c r="DQ55" s="55"/>
      <c r="DR55" s="128" t="s">
        <v>71</v>
      </c>
      <c r="DS55" s="128" t="s">
        <v>109</v>
      </c>
      <c r="DT55" s="128" t="str">
        <f t="shared" si="0"/>
        <v>Патент, свыше 7 млн. руб.</v>
      </c>
      <c r="DU55" s="146" t="s">
        <v>123</v>
      </c>
      <c r="DV55" s="65" t="s">
        <v>157</v>
      </c>
      <c r="DW55" s="147" t="s">
        <v>160</v>
      </c>
      <c r="DX55" s="147" t="s">
        <v>160</v>
      </c>
      <c r="DY55" s="55"/>
      <c r="DZ55" s="55"/>
      <c r="EA55" s="130"/>
      <c r="EB55" s="55"/>
      <c r="EC55" s="55"/>
      <c r="ED55" s="4"/>
      <c r="EE55" s="96"/>
      <c r="EF55" s="96"/>
      <c r="EG55" s="96"/>
      <c r="EH55" s="96"/>
      <c r="EI55" s="96"/>
      <c r="EJ55" s="96"/>
      <c r="EK55" s="55"/>
      <c r="EL55" s="54"/>
      <c r="EM55" s="96"/>
      <c r="EN55" s="96"/>
      <c r="EO55" s="96"/>
      <c r="EP55" s="96"/>
      <c r="EQ55" s="96"/>
      <c r="ER55" s="96"/>
      <c r="ES55" s="55"/>
      <c r="ET55" s="55"/>
      <c r="EU55" s="55"/>
      <c r="EV55" s="55"/>
      <c r="EW55" s="55"/>
      <c r="EX55" s="55"/>
      <c r="EY55" s="55"/>
      <c r="EZ55" s="55"/>
      <c r="FA55" s="55"/>
      <c r="FB55" s="55"/>
      <c r="FC55" s="55"/>
      <c r="FD55" s="55"/>
      <c r="FE55" s="130"/>
    </row>
    <row r="56" spans="1:161" ht="17.25" customHeight="1" x14ac:dyDescent="0.2">
      <c r="A56" s="55"/>
      <c r="B56" s="55" t="s">
        <v>179</v>
      </c>
      <c r="C56" s="55"/>
      <c r="D56" s="55"/>
      <c r="E56" s="55"/>
      <c r="F56" s="55"/>
      <c r="G56" s="55"/>
      <c r="H56" s="124"/>
      <c r="I56" s="124"/>
      <c r="J56" s="124"/>
      <c r="K56" s="124"/>
      <c r="L56" s="124"/>
      <c r="M56" s="124"/>
      <c r="N56" s="124"/>
      <c r="O56" s="124"/>
      <c r="P56" s="124"/>
      <c r="W56" s="130"/>
      <c r="X56" s="130"/>
      <c r="Y56" s="130"/>
      <c r="Z56" s="130"/>
      <c r="AA56" s="130"/>
      <c r="AB56" s="130"/>
      <c r="AC56" s="130"/>
      <c r="AD56" s="130"/>
      <c r="AE56" s="130"/>
      <c r="AF56" s="130"/>
      <c r="AG56" s="130"/>
      <c r="AH56" s="130"/>
      <c r="AI56" s="130"/>
      <c r="AJ56" s="130"/>
      <c r="AK56" s="130"/>
      <c r="AL56" s="130"/>
      <c r="AM56" s="130"/>
      <c r="AN56" s="130"/>
      <c r="AO56" s="130"/>
      <c r="AP56" s="130"/>
      <c r="AQ56" s="130"/>
      <c r="AR56" s="130"/>
      <c r="AS56" s="130"/>
      <c r="AT56" s="130"/>
      <c r="AU56" s="130"/>
      <c r="AV56" s="130"/>
      <c r="AW56" s="130"/>
      <c r="AX56" s="130"/>
      <c r="AY56" s="130"/>
      <c r="AZ56" s="130"/>
      <c r="BA56" s="130"/>
      <c r="BB56" s="130"/>
      <c r="BC56" s="130"/>
      <c r="BD56" s="130"/>
      <c r="BE56" s="130"/>
      <c r="BF56" s="130"/>
      <c r="BG56" s="130"/>
      <c r="BH56" s="130"/>
      <c r="BI56" s="130"/>
      <c r="BJ56" s="55"/>
      <c r="BK56" s="55"/>
      <c r="BL56" s="130"/>
      <c r="BM56" s="55"/>
      <c r="BN56" s="55"/>
      <c r="BO56" s="55"/>
      <c r="BP56" s="55"/>
      <c r="BQ56" s="55"/>
      <c r="BR56" s="55"/>
      <c r="BS56" s="55"/>
      <c r="BT56" s="55"/>
      <c r="BU56" s="55"/>
      <c r="BV56" s="55"/>
      <c r="BW56" s="55"/>
      <c r="BX56" s="130"/>
      <c r="BY56" s="55"/>
      <c r="BZ56" s="55"/>
      <c r="CA56" s="4"/>
      <c r="CB56" s="4"/>
      <c r="CC56" s="4"/>
      <c r="CD56" s="4"/>
      <c r="CE56" s="4"/>
      <c r="CF56" s="4"/>
      <c r="CG56" s="4"/>
      <c r="CH56" s="55"/>
      <c r="CI56" s="55"/>
      <c r="CJ56" s="55"/>
      <c r="CK56" s="55"/>
      <c r="CL56" s="55"/>
      <c r="CM56" s="55"/>
      <c r="CN56" s="55"/>
      <c r="CO56" s="55"/>
      <c r="CP56" s="55"/>
      <c r="CQ56" s="55"/>
      <c r="CR56" s="55"/>
      <c r="CS56" s="55"/>
      <c r="CT56" s="55"/>
      <c r="CU56" s="55"/>
      <c r="CV56" s="55"/>
      <c r="CW56" s="55"/>
      <c r="CX56" s="55"/>
      <c r="CY56" s="55"/>
      <c r="CZ56" s="55"/>
      <c r="DA56" s="55"/>
      <c r="DB56" s="55"/>
      <c r="DC56" s="55"/>
      <c r="DD56" s="55"/>
      <c r="DE56" s="55"/>
      <c r="DF56" s="55"/>
      <c r="DG56" s="55"/>
      <c r="DH56" s="55"/>
      <c r="DI56" s="55"/>
      <c r="DJ56" s="130"/>
      <c r="DK56" s="55"/>
      <c r="DL56" s="55"/>
      <c r="DM56" s="55"/>
      <c r="DN56" s="55"/>
      <c r="DO56" s="130"/>
      <c r="DP56" s="55"/>
      <c r="DQ56" s="55"/>
      <c r="DR56" s="55"/>
      <c r="DS56" s="55"/>
      <c r="DT56" s="55"/>
      <c r="DU56" s="55"/>
      <c r="DV56" s="55"/>
      <c r="DW56" s="55"/>
      <c r="DX56" s="55"/>
      <c r="DY56" s="55"/>
      <c r="DZ56" s="55"/>
      <c r="EA56" s="130"/>
      <c r="EB56" s="55"/>
      <c r="EC56" s="55"/>
      <c r="ED56" s="4"/>
      <c r="EE56" s="96"/>
      <c r="EF56" s="96"/>
      <c r="EG56" s="96"/>
      <c r="EH56" s="96"/>
      <c r="EI56" s="96"/>
      <c r="EJ56" s="96"/>
      <c r="EK56" s="55"/>
      <c r="EL56" s="54"/>
      <c r="EM56" s="96"/>
      <c r="EN56" s="96"/>
      <c r="EO56" s="96"/>
      <c r="EP56" s="96"/>
      <c r="EQ56" s="96"/>
      <c r="ER56" s="96"/>
      <c r="ES56" s="55"/>
      <c r="ET56" s="55"/>
      <c r="EU56" s="55"/>
      <c r="EV56" s="55"/>
      <c r="EW56" s="55"/>
      <c r="EX56" s="55"/>
      <c r="EY56" s="55"/>
      <c r="EZ56" s="55"/>
      <c r="FA56" s="55"/>
      <c r="FB56" s="55"/>
      <c r="FC56" s="55"/>
      <c r="FD56" s="55"/>
      <c r="FE56" s="130"/>
    </row>
    <row r="57" spans="1:161" ht="17.25" customHeight="1" x14ac:dyDescent="0.2">
      <c r="A57" s="55"/>
      <c r="B57" s="130" t="s">
        <v>176</v>
      </c>
      <c r="C57" s="130" t="e">
        <f>INDEX(DU44:DX55,MATCH(D44,DT44:DT55,0),MATCH(D46,DU43:DX43,0))</f>
        <v>#N/A</v>
      </c>
      <c r="D57" s="55"/>
      <c r="E57" s="55"/>
      <c r="F57" s="55"/>
      <c r="G57" s="55"/>
      <c r="H57" s="124"/>
      <c r="I57" s="124"/>
      <c r="J57" s="124"/>
      <c r="K57" s="124"/>
      <c r="L57" s="124"/>
      <c r="M57" s="124"/>
      <c r="N57" s="124"/>
      <c r="O57" s="124"/>
      <c r="P57" s="124"/>
      <c r="W57" s="55"/>
      <c r="X57" s="55"/>
      <c r="Y57" s="55"/>
      <c r="Z57" s="55"/>
      <c r="AA57" s="55"/>
      <c r="AB57" s="55"/>
      <c r="AC57" s="55"/>
      <c r="AD57" s="55"/>
      <c r="AE57" s="55"/>
      <c r="AF57" s="55"/>
      <c r="AG57" s="55"/>
      <c r="AH57" s="55"/>
      <c r="AI57" s="55"/>
      <c r="AJ57" s="55"/>
      <c r="AK57" s="55"/>
      <c r="AL57" s="55"/>
      <c r="AM57" s="55"/>
      <c r="AN57" s="55"/>
      <c r="AO57" s="55"/>
      <c r="AP57" s="55"/>
      <c r="AQ57" s="55"/>
      <c r="AR57" s="55"/>
      <c r="AS57" s="55"/>
      <c r="AT57" s="55"/>
      <c r="AU57" s="55"/>
      <c r="AV57" s="55"/>
      <c r="AW57" s="55"/>
      <c r="AX57" s="55"/>
      <c r="AY57" s="55"/>
      <c r="AZ57" s="55"/>
      <c r="BA57" s="55"/>
      <c r="BB57" s="55"/>
      <c r="BC57" s="55"/>
      <c r="BD57" s="55"/>
      <c r="BE57" s="55"/>
      <c r="BF57" s="55"/>
      <c r="BG57" s="55"/>
      <c r="BH57" s="55"/>
      <c r="BI57" s="55"/>
      <c r="BJ57" s="55"/>
      <c r="BK57" s="55"/>
      <c r="BL57" s="130"/>
      <c r="BM57" s="55"/>
      <c r="BN57" s="55"/>
      <c r="BO57" s="55"/>
      <c r="BP57" s="55"/>
      <c r="BQ57" s="55"/>
      <c r="BR57" s="55"/>
      <c r="BS57" s="55"/>
      <c r="BT57" s="55"/>
      <c r="BU57" s="55"/>
      <c r="BV57" s="55"/>
      <c r="BW57" s="55"/>
      <c r="BX57" s="130"/>
      <c r="BY57" s="55"/>
      <c r="BZ57" s="55"/>
      <c r="CA57" s="4"/>
      <c r="CB57" s="4"/>
      <c r="CC57" s="4"/>
      <c r="CD57" s="4"/>
      <c r="CE57" s="4"/>
      <c r="CF57" s="4"/>
      <c r="CG57" s="4"/>
      <c r="CH57" s="55"/>
      <c r="CI57" s="55"/>
      <c r="CJ57" s="55"/>
      <c r="CK57" s="55"/>
      <c r="CL57" s="55"/>
      <c r="CM57" s="55"/>
      <c r="CN57" s="55"/>
      <c r="CO57" s="55"/>
      <c r="CP57" s="55"/>
      <c r="CQ57" s="55"/>
      <c r="CR57" s="55"/>
      <c r="CS57" s="55"/>
      <c r="CT57" s="55"/>
      <c r="CU57" s="55"/>
      <c r="CV57" s="55"/>
      <c r="CW57" s="55"/>
      <c r="CX57" s="55"/>
      <c r="CY57" s="55"/>
      <c r="CZ57" s="55"/>
      <c r="DA57" s="55"/>
      <c r="DB57" s="55"/>
      <c r="DC57" s="55"/>
      <c r="DD57" s="55"/>
      <c r="DE57" s="55"/>
      <c r="DF57" s="55"/>
      <c r="DG57" s="55"/>
      <c r="DH57" s="55"/>
      <c r="DI57" s="55"/>
      <c r="DJ57" s="130"/>
      <c r="DK57" s="55"/>
      <c r="DL57" s="55"/>
      <c r="DM57" s="55"/>
      <c r="DN57" s="55"/>
      <c r="DO57" s="130"/>
      <c r="DP57" s="55"/>
      <c r="DQ57" s="55"/>
      <c r="DR57" s="55"/>
      <c r="DS57" s="55"/>
      <c r="DT57" s="55"/>
      <c r="DU57" s="55"/>
      <c r="DV57" s="55"/>
      <c r="DW57" s="55"/>
      <c r="DX57" s="55"/>
      <c r="DY57" s="55"/>
      <c r="DZ57" s="55"/>
      <c r="EA57" s="130"/>
      <c r="EB57" s="55"/>
      <c r="EC57" s="55"/>
      <c r="ED57" s="54"/>
      <c r="EE57" s="57"/>
      <c r="EF57" s="57"/>
      <c r="EG57" s="57"/>
      <c r="EH57" s="57"/>
      <c r="EI57" s="57"/>
      <c r="EJ57" s="57"/>
      <c r="EK57" s="55"/>
      <c r="EL57" s="54"/>
      <c r="EM57" s="96"/>
      <c r="EN57" s="96"/>
      <c r="EO57" s="96"/>
      <c r="EP57" s="96"/>
      <c r="EQ57" s="96"/>
      <c r="ER57" s="96"/>
      <c r="ES57" s="55"/>
      <c r="ET57" s="55"/>
      <c r="EU57" s="55"/>
      <c r="EV57" s="55"/>
      <c r="EW57" s="55"/>
      <c r="EX57" s="55"/>
      <c r="EY57" s="55"/>
      <c r="EZ57" s="55"/>
      <c r="FA57" s="55"/>
      <c r="FB57" s="55"/>
      <c r="FC57" s="55"/>
      <c r="FD57" s="55"/>
      <c r="FE57" s="130"/>
    </row>
    <row r="58" spans="1:161" ht="17.25" customHeight="1" x14ac:dyDescent="0.2">
      <c r="A58" s="55"/>
      <c r="B58" s="130" t="s">
        <v>175</v>
      </c>
      <c r="C58" s="130" t="e">
        <f>INDEX(BR44:BU55,MATCH(D44,BQ44:BQ55,0),MATCH(D46,BR43:BU43,0))</f>
        <v>#N/A</v>
      </c>
      <c r="D58" s="55"/>
      <c r="E58" s="55"/>
      <c r="F58" s="55"/>
      <c r="G58" s="55"/>
      <c r="H58" s="124"/>
      <c r="I58" s="124"/>
      <c r="J58" s="124"/>
      <c r="K58" s="124"/>
      <c r="L58" s="124"/>
      <c r="M58" s="124"/>
      <c r="N58" s="124"/>
      <c r="O58" s="124"/>
      <c r="P58" s="124"/>
      <c r="W58" s="55"/>
      <c r="X58" s="55"/>
      <c r="Y58" s="55"/>
      <c r="Z58" s="55"/>
      <c r="AA58" s="55"/>
      <c r="AB58" s="55"/>
      <c r="AC58" s="55"/>
      <c r="AD58" s="55"/>
      <c r="AE58" s="55"/>
      <c r="AF58" s="55"/>
      <c r="AG58" s="55"/>
      <c r="AH58" s="55"/>
      <c r="AI58" s="55"/>
      <c r="AJ58" s="55"/>
      <c r="AK58" s="55"/>
      <c r="AL58" s="55"/>
      <c r="AM58" s="55"/>
      <c r="AN58" s="55"/>
      <c r="AO58" s="55"/>
      <c r="AP58" s="55"/>
      <c r="AQ58" s="55"/>
      <c r="AR58" s="55"/>
      <c r="AS58" s="55"/>
      <c r="AT58" s="55"/>
      <c r="AU58" s="55"/>
      <c r="AV58" s="55"/>
      <c r="AW58" s="55"/>
      <c r="AX58" s="55"/>
      <c r="AY58" s="55"/>
      <c r="AZ58" s="55"/>
      <c r="BA58" s="55"/>
      <c r="BB58" s="55"/>
      <c r="BC58" s="55"/>
      <c r="BD58" s="55"/>
      <c r="BE58" s="55"/>
      <c r="BF58" s="55"/>
      <c r="BG58" s="55"/>
      <c r="BH58" s="55"/>
      <c r="BI58" s="55"/>
      <c r="BJ58" s="55"/>
      <c r="BK58" s="55"/>
      <c r="BL58" s="130"/>
      <c r="BM58" s="55"/>
      <c r="BN58" s="55"/>
      <c r="BO58" s="55"/>
      <c r="BP58" s="55"/>
      <c r="BQ58" s="55"/>
      <c r="BR58" s="55"/>
      <c r="BS58" s="55"/>
      <c r="BT58" s="55"/>
      <c r="BU58" s="55"/>
      <c r="BV58" s="55"/>
      <c r="BW58" s="55"/>
      <c r="BX58" s="130"/>
      <c r="BY58" s="55"/>
      <c r="BZ58" s="55"/>
      <c r="CA58" s="54"/>
      <c r="CB58" s="57"/>
      <c r="CC58" s="57"/>
      <c r="CD58" s="57"/>
      <c r="CE58" s="57"/>
      <c r="CF58" s="57"/>
      <c r="CG58" s="57"/>
      <c r="CH58" s="55"/>
      <c r="CI58" s="55"/>
      <c r="CJ58" s="55"/>
      <c r="CK58" s="55"/>
      <c r="CL58" s="55"/>
      <c r="CM58" s="55"/>
      <c r="CN58" s="55"/>
      <c r="CO58" s="55"/>
      <c r="CP58" s="55"/>
      <c r="CQ58" s="55"/>
      <c r="CR58" s="55"/>
      <c r="CS58" s="55"/>
      <c r="CT58" s="55"/>
      <c r="CU58" s="55"/>
      <c r="CV58" s="55"/>
      <c r="CW58" s="55"/>
      <c r="CX58" s="55"/>
      <c r="CY58" s="55"/>
      <c r="CZ58" s="55"/>
      <c r="DA58" s="55"/>
      <c r="DB58" s="55"/>
      <c r="DC58" s="55"/>
      <c r="DD58" s="55"/>
      <c r="DE58" s="55"/>
      <c r="DF58" s="55"/>
      <c r="DG58" s="55"/>
      <c r="DH58" s="55"/>
      <c r="DI58" s="55"/>
      <c r="DJ58" s="130"/>
      <c r="DK58" s="55"/>
      <c r="DL58" s="55"/>
      <c r="DM58" s="55"/>
      <c r="DN58" s="55"/>
      <c r="DO58" s="130"/>
      <c r="DP58" s="55"/>
      <c r="DQ58" s="55"/>
      <c r="DR58" s="55"/>
      <c r="DS58" s="55"/>
      <c r="DT58" s="55"/>
      <c r="DU58" s="55"/>
      <c r="DV58" s="55"/>
      <c r="DW58" s="55"/>
      <c r="DX58" s="55"/>
      <c r="DY58" s="55"/>
      <c r="DZ58" s="55"/>
      <c r="EA58" s="130"/>
      <c r="EB58" s="55"/>
      <c r="EC58" s="55"/>
      <c r="ED58" s="4"/>
      <c r="EE58" s="57"/>
      <c r="EF58" s="57"/>
      <c r="EG58" s="57"/>
      <c r="EH58" s="57"/>
      <c r="EI58" s="57"/>
      <c r="EJ58" s="57"/>
      <c r="EK58" s="55"/>
      <c r="EL58" s="54"/>
      <c r="EM58" s="96"/>
      <c r="EN58" s="96"/>
      <c r="EO58" s="96"/>
      <c r="EP58" s="96"/>
      <c r="EQ58" s="96"/>
      <c r="ER58" s="96"/>
      <c r="ES58" s="55"/>
      <c r="ET58" s="55"/>
      <c r="EU58" s="55"/>
      <c r="EV58" s="55"/>
      <c r="EW58" s="55"/>
      <c r="EX58" s="55"/>
      <c r="EY58" s="55"/>
      <c r="EZ58" s="55"/>
      <c r="FA58" s="55"/>
      <c r="FB58" s="55"/>
      <c r="FC58" s="55"/>
      <c r="FD58" s="55"/>
      <c r="FE58" s="130"/>
    </row>
    <row r="59" spans="1:161" ht="17.25" customHeight="1" x14ac:dyDescent="0.2">
      <c r="A59" s="55"/>
      <c r="B59" s="55"/>
      <c r="C59" s="55"/>
      <c r="D59" s="55"/>
      <c r="E59" s="55"/>
      <c r="F59" s="55"/>
      <c r="G59" s="55"/>
      <c r="H59" s="124"/>
      <c r="I59" s="124"/>
      <c r="J59" s="124"/>
      <c r="K59" s="124"/>
      <c r="L59" s="124"/>
      <c r="M59" s="124"/>
      <c r="N59" s="124"/>
      <c r="O59" s="124"/>
      <c r="P59" s="124"/>
      <c r="BJ59" s="55"/>
      <c r="BK59" s="55"/>
      <c r="BL59" s="130"/>
      <c r="BM59" s="55"/>
      <c r="BN59" s="55"/>
      <c r="BO59" s="55"/>
      <c r="BP59" s="55"/>
      <c r="BQ59" s="55"/>
      <c r="BR59" s="55"/>
      <c r="BS59" s="55"/>
      <c r="BT59" s="55"/>
      <c r="BU59" s="55"/>
      <c r="BV59" s="55"/>
      <c r="BW59" s="55"/>
      <c r="BX59" s="130"/>
      <c r="BY59" s="55"/>
      <c r="BZ59" s="55"/>
      <c r="CA59" s="4"/>
      <c r="CB59" s="57"/>
      <c r="CC59" s="57"/>
      <c r="CD59" s="57"/>
      <c r="CE59" s="57"/>
      <c r="CF59" s="57"/>
      <c r="CG59" s="57"/>
      <c r="CH59" s="55"/>
      <c r="CI59" s="55"/>
      <c r="CJ59" s="55"/>
      <c r="CK59" s="55"/>
      <c r="CL59" s="55"/>
      <c r="CM59" s="55"/>
      <c r="CN59" s="55"/>
      <c r="CO59" s="55"/>
      <c r="CP59" s="55"/>
      <c r="CQ59" s="55"/>
      <c r="CR59" s="55"/>
      <c r="CS59" s="55"/>
      <c r="CT59" s="55"/>
      <c r="CU59" s="55"/>
      <c r="CV59" s="55"/>
      <c r="CW59" s="55"/>
      <c r="CX59" s="55"/>
      <c r="CY59" s="55"/>
      <c r="CZ59" s="55"/>
      <c r="DA59" s="55"/>
      <c r="DB59" s="55"/>
      <c r="DC59" s="55"/>
      <c r="DD59" s="55"/>
      <c r="DE59" s="55"/>
      <c r="DF59" s="55"/>
      <c r="DG59" s="55"/>
      <c r="DH59" s="55"/>
      <c r="DI59" s="55"/>
      <c r="DJ59" s="130"/>
      <c r="DK59" s="55"/>
      <c r="DL59" s="55"/>
      <c r="DM59" s="55"/>
      <c r="DN59" s="55"/>
      <c r="DO59" s="130"/>
      <c r="DP59" s="55"/>
      <c r="DQ59" s="55"/>
      <c r="DR59" s="55"/>
      <c r="DS59" s="55"/>
      <c r="DT59" s="55"/>
      <c r="DU59" s="55"/>
      <c r="DV59" s="55"/>
      <c r="DW59" s="55"/>
      <c r="DX59" s="55"/>
      <c r="DY59" s="55"/>
      <c r="DZ59" s="55"/>
      <c r="EA59" s="130"/>
      <c r="EB59" s="55"/>
      <c r="EC59" s="55"/>
      <c r="ED59" s="55"/>
      <c r="EE59" s="55"/>
      <c r="EF59" s="55"/>
      <c r="EG59" s="55"/>
      <c r="EH59" s="55"/>
      <c r="EI59" s="55"/>
      <c r="EJ59" s="55"/>
      <c r="EK59" s="55"/>
      <c r="EL59" s="54"/>
      <c r="EM59" s="96"/>
      <c r="EN59" s="96"/>
      <c r="EO59" s="96"/>
      <c r="EP59" s="96"/>
      <c r="EQ59" s="96"/>
      <c r="ER59" s="96"/>
      <c r="ES59" s="55"/>
      <c r="ET59" s="55"/>
      <c r="EU59" s="55"/>
      <c r="EV59" s="55"/>
      <c r="EW59" s="55"/>
      <c r="EX59" s="55"/>
      <c r="EY59" s="55"/>
      <c r="EZ59" s="55"/>
      <c r="FA59" s="55"/>
      <c r="FB59" s="55"/>
      <c r="FC59" s="55"/>
      <c r="FD59" s="55"/>
      <c r="FE59" s="130"/>
    </row>
    <row r="60" spans="1:161" ht="17.25" customHeight="1" x14ac:dyDescent="0.2">
      <c r="A60" s="124"/>
      <c r="B60" s="124"/>
      <c r="C60" s="124"/>
      <c r="D60" s="124"/>
      <c r="E60" s="124"/>
      <c r="F60" s="124"/>
      <c r="G60" s="124"/>
      <c r="H60" s="124"/>
      <c r="I60" s="124"/>
      <c r="J60" s="124"/>
      <c r="K60" s="124"/>
      <c r="L60" s="124"/>
      <c r="M60" s="124"/>
      <c r="N60" s="124"/>
      <c r="O60" s="124"/>
      <c r="P60" s="124"/>
      <c r="BJ60" s="55"/>
      <c r="BK60" s="55"/>
      <c r="BL60" s="130"/>
      <c r="BM60" s="55"/>
      <c r="BN60" s="55"/>
      <c r="BO60" s="55"/>
      <c r="BP60" s="55"/>
      <c r="BQ60" s="55"/>
      <c r="BR60" s="55"/>
      <c r="BS60" s="55"/>
      <c r="BT60" s="55"/>
      <c r="BU60" s="55"/>
      <c r="BV60" s="55"/>
      <c r="BW60" s="55"/>
      <c r="BX60" s="130"/>
      <c r="BY60" s="55"/>
      <c r="BZ60" s="55"/>
      <c r="CA60" s="54"/>
      <c r="CB60" s="57"/>
      <c r="CC60" s="57"/>
      <c r="CD60" s="57"/>
      <c r="CE60" s="57"/>
      <c r="CF60" s="57"/>
      <c r="CG60" s="57"/>
      <c r="CH60" s="55"/>
      <c r="CI60" s="55"/>
      <c r="CJ60" s="55"/>
      <c r="CK60" s="55"/>
      <c r="CL60" s="55"/>
      <c r="CM60" s="55"/>
      <c r="CN60" s="55"/>
      <c r="CO60" s="55"/>
      <c r="CP60" s="55"/>
      <c r="CQ60" s="55"/>
      <c r="CR60" s="55"/>
      <c r="CS60" s="55"/>
      <c r="CT60" s="55"/>
      <c r="CU60" s="55"/>
      <c r="CV60" s="55"/>
      <c r="CW60" s="55"/>
      <c r="CX60" s="55"/>
      <c r="CY60" s="55"/>
      <c r="CZ60" s="55"/>
      <c r="DA60" s="55"/>
      <c r="DB60" s="55"/>
      <c r="DC60" s="55"/>
      <c r="DD60" s="55"/>
      <c r="DE60" s="55"/>
      <c r="DF60" s="55"/>
      <c r="DG60" s="55"/>
      <c r="DH60" s="55"/>
      <c r="DI60" s="55"/>
      <c r="DJ60" s="130"/>
      <c r="DK60" s="55"/>
      <c r="DL60" s="55"/>
      <c r="DM60" s="55"/>
      <c r="DN60" s="55"/>
      <c r="DO60" s="130"/>
      <c r="DP60" s="55"/>
      <c r="DQ60" s="55"/>
      <c r="DR60" s="55"/>
      <c r="DS60" s="55"/>
      <c r="DT60" s="55"/>
      <c r="DU60" s="55"/>
      <c r="DV60" s="55"/>
      <c r="DW60" s="55"/>
      <c r="DX60" s="55"/>
      <c r="DY60" s="55"/>
      <c r="DZ60" s="55"/>
      <c r="EA60" s="130"/>
      <c r="EB60" s="55"/>
      <c r="EC60" s="55"/>
      <c r="ED60" s="55"/>
      <c r="EE60" s="55"/>
      <c r="EF60" s="55"/>
      <c r="EG60" s="55"/>
      <c r="EH60" s="55"/>
      <c r="EI60" s="55"/>
      <c r="EJ60" s="55"/>
      <c r="EK60" s="55"/>
      <c r="EL60" s="54"/>
      <c r="EM60" s="96"/>
      <c r="EN60" s="96"/>
      <c r="EO60" s="96"/>
      <c r="EP60" s="96"/>
      <c r="EQ60" s="96"/>
      <c r="ER60" s="96"/>
      <c r="ES60" s="55"/>
      <c r="ET60" s="55"/>
      <c r="EU60" s="55"/>
      <c r="EV60" s="55"/>
      <c r="EW60" s="55"/>
      <c r="EX60" s="55"/>
      <c r="EY60" s="55"/>
      <c r="EZ60" s="55"/>
      <c r="FA60" s="55"/>
      <c r="FB60" s="55"/>
      <c r="FC60" s="55"/>
      <c r="FD60" s="55"/>
      <c r="FE60" s="130"/>
    </row>
    <row r="61" spans="1:161" ht="17.25" customHeight="1" x14ac:dyDescent="0.2">
      <c r="A61" s="124"/>
      <c r="B61" s="124"/>
      <c r="C61" s="124"/>
      <c r="D61" s="124"/>
      <c r="E61" s="124"/>
      <c r="F61" s="124"/>
      <c r="G61" s="124"/>
      <c r="H61" s="124"/>
      <c r="I61" s="124"/>
      <c r="J61" s="124"/>
      <c r="K61" s="124"/>
      <c r="L61" s="124"/>
      <c r="M61" s="124"/>
      <c r="N61" s="124"/>
      <c r="O61" s="124"/>
      <c r="P61" s="124"/>
      <c r="BJ61" s="55"/>
      <c r="BK61" s="55"/>
      <c r="BL61" s="130"/>
      <c r="BM61" s="55"/>
      <c r="BN61" s="55"/>
      <c r="BO61" s="55"/>
      <c r="BP61" s="55"/>
      <c r="BQ61" s="55"/>
      <c r="BR61" s="55"/>
      <c r="BS61" s="55"/>
      <c r="BT61" s="55"/>
      <c r="BU61" s="55"/>
      <c r="BV61" s="55"/>
      <c r="BW61" s="55"/>
      <c r="BX61" s="130"/>
      <c r="BY61" s="55"/>
      <c r="BZ61" s="55"/>
      <c r="CA61" s="55"/>
      <c r="CB61" s="55"/>
      <c r="CC61" s="55"/>
      <c r="CD61" s="55"/>
      <c r="CE61" s="55"/>
      <c r="CF61" s="55"/>
      <c r="CG61" s="55"/>
      <c r="CH61" s="55"/>
      <c r="CI61" s="55"/>
      <c r="CJ61" s="55"/>
      <c r="CK61" s="55"/>
      <c r="CL61" s="55"/>
      <c r="CM61" s="55"/>
      <c r="CN61" s="55"/>
      <c r="CO61" s="55"/>
      <c r="CP61" s="55"/>
      <c r="CQ61" s="55"/>
      <c r="CR61" s="55"/>
      <c r="CS61" s="55"/>
      <c r="CT61" s="55"/>
      <c r="CU61" s="55"/>
      <c r="CV61" s="55"/>
      <c r="CW61" s="55"/>
      <c r="CX61" s="55"/>
      <c r="CY61" s="55"/>
      <c r="CZ61" s="55"/>
      <c r="DA61" s="55"/>
      <c r="DB61" s="55"/>
      <c r="DC61" s="55"/>
      <c r="DD61" s="55"/>
      <c r="DE61" s="55"/>
      <c r="DF61" s="55"/>
      <c r="DG61" s="55"/>
      <c r="DH61" s="55"/>
      <c r="DI61" s="55"/>
      <c r="DJ61" s="130"/>
      <c r="DK61" s="55"/>
      <c r="DL61" s="55"/>
      <c r="DM61" s="55"/>
      <c r="DN61" s="55"/>
      <c r="DO61" s="130"/>
      <c r="DP61" s="55"/>
      <c r="DQ61" s="55"/>
      <c r="DR61" s="55"/>
      <c r="DS61" s="55"/>
      <c r="DT61" s="55"/>
      <c r="DU61" s="55"/>
      <c r="DV61" s="55"/>
      <c r="DW61" s="55"/>
      <c r="DX61" s="55"/>
      <c r="DY61" s="55"/>
      <c r="DZ61" s="55"/>
      <c r="EA61" s="130"/>
      <c r="EB61" s="55"/>
      <c r="EC61" s="55"/>
      <c r="ED61" s="55"/>
      <c r="EE61" s="55"/>
      <c r="EF61" s="55"/>
      <c r="EG61" s="55"/>
      <c r="EH61" s="55"/>
      <c r="EI61" s="55"/>
      <c r="EJ61" s="55"/>
      <c r="EK61" s="55"/>
      <c r="EL61" s="21"/>
      <c r="EM61" s="96"/>
      <c r="EN61" s="96"/>
      <c r="EO61" s="96"/>
      <c r="EP61" s="96"/>
      <c r="EQ61" s="96"/>
      <c r="ER61" s="96"/>
      <c r="ES61" s="55"/>
      <c r="ET61" s="55"/>
      <c r="EU61" s="55"/>
      <c r="EV61" s="55"/>
      <c r="EW61" s="55"/>
      <c r="EX61" s="55"/>
      <c r="EY61" s="55"/>
      <c r="EZ61" s="55"/>
      <c r="FA61" s="55"/>
      <c r="FB61" s="55"/>
      <c r="FC61" s="55"/>
      <c r="FD61" s="55"/>
      <c r="FE61" s="130"/>
    </row>
    <row r="62" spans="1:161" ht="17.25" customHeight="1" x14ac:dyDescent="0.2">
      <c r="A62" s="124"/>
      <c r="B62" s="124"/>
      <c r="C62" s="124"/>
      <c r="D62" s="124"/>
      <c r="E62" s="124"/>
      <c r="F62" s="124"/>
      <c r="G62" s="124"/>
      <c r="H62" s="124"/>
      <c r="I62" s="124"/>
      <c r="J62" s="124"/>
      <c r="K62" s="124"/>
      <c r="L62" s="124"/>
      <c r="M62" s="124"/>
      <c r="N62" s="124"/>
      <c r="O62" s="124"/>
      <c r="P62" s="124"/>
      <c r="BJ62" s="55"/>
      <c r="BK62" s="55"/>
      <c r="BL62" s="130"/>
      <c r="BM62" s="55"/>
      <c r="BN62" s="55"/>
      <c r="BO62" s="55"/>
      <c r="BP62" s="55"/>
      <c r="BQ62" s="55"/>
      <c r="BR62" s="55"/>
      <c r="BS62" s="55"/>
      <c r="BT62" s="55"/>
      <c r="BU62" s="55"/>
      <c r="BV62" s="55"/>
      <c r="BW62" s="55"/>
      <c r="BX62" s="130"/>
      <c r="BY62" s="55"/>
      <c r="BZ62" s="55"/>
      <c r="CA62" s="55"/>
      <c r="CB62" s="55"/>
      <c r="CC62" s="55"/>
      <c r="CD62" s="55"/>
      <c r="CE62" s="55"/>
      <c r="CF62" s="55"/>
      <c r="CG62" s="55"/>
      <c r="CH62" s="55"/>
      <c r="CI62" s="55"/>
      <c r="CJ62" s="55"/>
      <c r="CK62" s="55"/>
      <c r="CL62" s="55"/>
      <c r="CM62" s="55"/>
      <c r="CN62" s="55"/>
      <c r="CO62" s="55"/>
      <c r="CP62" s="55"/>
      <c r="CQ62" s="55"/>
      <c r="CR62" s="55"/>
      <c r="CS62" s="55"/>
      <c r="CT62" s="55"/>
      <c r="CU62" s="55"/>
      <c r="CV62" s="55"/>
      <c r="CW62" s="55"/>
      <c r="CX62" s="55"/>
      <c r="CY62" s="55"/>
      <c r="CZ62" s="55"/>
      <c r="DA62" s="55"/>
      <c r="DB62" s="55"/>
      <c r="DC62" s="55"/>
      <c r="DD62" s="55"/>
      <c r="DE62" s="55"/>
      <c r="DF62" s="55"/>
      <c r="DG62" s="55"/>
      <c r="DH62" s="55"/>
      <c r="DI62" s="55"/>
      <c r="DJ62" s="130"/>
      <c r="DK62" s="55"/>
      <c r="DL62" s="55"/>
      <c r="DM62" s="55"/>
      <c r="DN62" s="55"/>
      <c r="DO62" s="130"/>
      <c r="DP62" s="55"/>
      <c r="DQ62" s="55"/>
      <c r="DR62" s="55"/>
      <c r="DS62" s="55"/>
      <c r="DT62" s="55"/>
      <c r="DU62" s="55"/>
      <c r="DV62" s="55"/>
      <c r="DW62" s="55"/>
      <c r="DX62" s="55"/>
      <c r="DY62" s="55"/>
      <c r="DZ62" s="55"/>
      <c r="EA62" s="130"/>
      <c r="EB62" s="55"/>
      <c r="EC62" s="55"/>
      <c r="ED62" s="55"/>
      <c r="EE62" s="55"/>
      <c r="EF62" s="55"/>
      <c r="EG62" s="55"/>
      <c r="EH62" s="55"/>
      <c r="EI62" s="55"/>
      <c r="EJ62" s="55"/>
      <c r="EK62" s="55"/>
      <c r="EL62" s="117"/>
      <c r="EM62" s="96"/>
      <c r="EN62" s="96"/>
      <c r="EO62" s="96"/>
      <c r="EP62" s="96"/>
      <c r="EQ62" s="96"/>
      <c r="ER62" s="96"/>
      <c r="ES62" s="55"/>
      <c r="ET62" s="55"/>
      <c r="EU62" s="55"/>
      <c r="EV62" s="55"/>
      <c r="EW62" s="55"/>
      <c r="EX62" s="55"/>
      <c r="EY62" s="55"/>
      <c r="EZ62" s="55"/>
      <c r="FA62" s="55"/>
      <c r="FB62" s="55"/>
      <c r="FC62" s="55"/>
      <c r="FD62" s="55"/>
      <c r="FE62" s="130"/>
    </row>
    <row r="63" spans="1:161" ht="17.25" customHeight="1" x14ac:dyDescent="0.2">
      <c r="A63" s="124"/>
      <c r="B63" s="124"/>
      <c r="C63" s="124"/>
      <c r="D63" s="124"/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BJ63" s="55"/>
      <c r="BK63" s="55"/>
      <c r="BL63" s="130"/>
      <c r="BM63" s="55"/>
      <c r="BN63" s="55"/>
      <c r="BO63" s="55"/>
      <c r="BP63" s="55"/>
      <c r="BQ63" s="55"/>
      <c r="BR63" s="55"/>
      <c r="BS63" s="55"/>
      <c r="BT63" s="55"/>
      <c r="BU63" s="55"/>
      <c r="BV63" s="55"/>
      <c r="BW63" s="55"/>
      <c r="BX63" s="130"/>
      <c r="BY63" s="55"/>
      <c r="BZ63" s="55"/>
      <c r="CA63" s="55"/>
      <c r="CB63" s="55"/>
      <c r="CC63" s="55"/>
      <c r="CD63" s="55"/>
      <c r="CE63" s="55"/>
      <c r="CF63" s="55"/>
      <c r="CG63" s="55"/>
      <c r="CH63" s="55"/>
      <c r="CI63" s="55"/>
      <c r="CJ63" s="55"/>
      <c r="CK63" s="55"/>
      <c r="CL63" s="55"/>
      <c r="CM63" s="55"/>
      <c r="CN63" s="55"/>
      <c r="CO63" s="55"/>
      <c r="CP63" s="55"/>
      <c r="CQ63" s="55"/>
      <c r="CR63" s="55"/>
      <c r="CS63" s="55"/>
      <c r="CT63" s="55"/>
      <c r="CU63" s="55"/>
      <c r="CV63" s="55"/>
      <c r="CW63" s="55"/>
      <c r="CX63" s="55"/>
      <c r="CY63" s="55"/>
      <c r="CZ63" s="55"/>
      <c r="DA63" s="55"/>
      <c r="DB63" s="55"/>
      <c r="DC63" s="55"/>
      <c r="DD63" s="55"/>
      <c r="DE63" s="55"/>
      <c r="DF63" s="55"/>
      <c r="DG63" s="55"/>
      <c r="DH63" s="55"/>
      <c r="DI63" s="55"/>
      <c r="DJ63" s="130"/>
      <c r="DK63" s="55"/>
      <c r="DL63" s="55"/>
      <c r="DM63" s="55"/>
      <c r="DN63" s="55"/>
      <c r="DO63" s="130"/>
      <c r="DP63" s="55"/>
      <c r="DQ63" s="55"/>
      <c r="DR63" s="55"/>
      <c r="DS63" s="55"/>
      <c r="DT63" s="55"/>
      <c r="DU63" s="55"/>
      <c r="DV63" s="55"/>
      <c r="DW63" s="55"/>
      <c r="DX63" s="55"/>
      <c r="DY63" s="55"/>
      <c r="DZ63" s="55"/>
      <c r="EA63" s="130"/>
      <c r="EB63" s="55"/>
      <c r="EC63" s="55"/>
      <c r="ED63" s="55"/>
      <c r="EE63" s="55"/>
      <c r="EF63" s="55"/>
      <c r="EG63" s="55"/>
      <c r="EH63" s="55"/>
      <c r="EI63" s="55"/>
      <c r="EJ63" s="55"/>
      <c r="EK63" s="55"/>
      <c r="EL63" s="55"/>
      <c r="EM63" s="55"/>
      <c r="EN63" s="55"/>
      <c r="EO63" s="55"/>
      <c r="EP63" s="55"/>
      <c r="EQ63" s="55"/>
      <c r="ER63" s="55"/>
      <c r="ES63" s="55"/>
      <c r="ET63" s="55"/>
      <c r="EU63" s="55"/>
      <c r="EV63" s="55"/>
      <c r="EW63" s="55"/>
      <c r="EX63" s="55"/>
      <c r="EY63" s="55"/>
      <c r="EZ63" s="55"/>
      <c r="FA63" s="55"/>
      <c r="FB63" s="55"/>
      <c r="FC63" s="55"/>
      <c r="FD63" s="55"/>
      <c r="FE63" s="130"/>
    </row>
    <row r="64" spans="1:161" ht="17.25" customHeight="1" x14ac:dyDescent="0.2">
      <c r="A64" s="124"/>
      <c r="B64" s="124"/>
      <c r="C64" s="124"/>
      <c r="D64" s="124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BJ64" s="55"/>
      <c r="BK64" s="55"/>
      <c r="BL64" s="130"/>
      <c r="BM64" s="55"/>
      <c r="BN64" s="55"/>
      <c r="BO64" s="55"/>
      <c r="BP64" s="55"/>
      <c r="BQ64" s="55"/>
      <c r="BR64" s="55"/>
      <c r="BS64" s="55"/>
      <c r="BT64" s="55"/>
      <c r="BU64" s="55"/>
      <c r="BV64" s="55"/>
      <c r="BW64" s="55"/>
      <c r="BX64" s="130"/>
      <c r="BY64" s="55"/>
      <c r="BZ64" s="55"/>
      <c r="CA64" s="55"/>
      <c r="CB64" s="55"/>
      <c r="CC64" s="55"/>
      <c r="CD64" s="55"/>
      <c r="CE64" s="55"/>
      <c r="CF64" s="55"/>
      <c r="CG64" s="55"/>
      <c r="CH64" s="55"/>
      <c r="CI64" s="55"/>
      <c r="CJ64" s="55"/>
      <c r="CK64" s="55"/>
      <c r="CL64" s="55"/>
      <c r="CM64" s="55"/>
      <c r="CN64" s="55"/>
      <c r="CO64" s="55"/>
      <c r="CP64" s="55"/>
      <c r="CQ64" s="55"/>
      <c r="CR64" s="55"/>
      <c r="CS64" s="55"/>
      <c r="CT64" s="55"/>
      <c r="CU64" s="55"/>
      <c r="CV64" s="55"/>
      <c r="CW64" s="55"/>
      <c r="CX64" s="55"/>
      <c r="CY64" s="55"/>
      <c r="CZ64" s="55"/>
      <c r="DA64" s="55"/>
      <c r="DB64" s="55"/>
      <c r="DC64" s="55"/>
      <c r="DD64" s="55"/>
      <c r="DE64" s="55"/>
      <c r="DF64" s="55"/>
      <c r="DG64" s="55"/>
      <c r="DH64" s="55"/>
      <c r="DI64" s="55"/>
      <c r="DJ64" s="130"/>
      <c r="DK64" s="55"/>
      <c r="DL64" s="55"/>
      <c r="DM64" s="55"/>
      <c r="DN64" s="55"/>
      <c r="DO64" s="130"/>
      <c r="DP64" s="55"/>
      <c r="DQ64" s="55"/>
      <c r="DR64" s="55"/>
      <c r="DS64" s="55"/>
      <c r="DT64" s="55"/>
      <c r="DU64" s="55"/>
      <c r="DV64" s="55"/>
      <c r="DW64" s="55"/>
      <c r="DX64" s="55"/>
      <c r="DY64" s="55"/>
      <c r="DZ64" s="55"/>
      <c r="EA64" s="130"/>
      <c r="EB64" s="55"/>
      <c r="EC64" s="55"/>
      <c r="ED64" s="55"/>
      <c r="EE64" s="55"/>
      <c r="EF64" s="55"/>
      <c r="EG64" s="55"/>
      <c r="EH64" s="55"/>
      <c r="EI64" s="55"/>
      <c r="EJ64" s="55"/>
      <c r="EK64" s="55"/>
      <c r="EL64" s="55"/>
      <c r="EM64" s="55"/>
      <c r="EN64" s="55"/>
      <c r="EO64" s="55"/>
      <c r="EP64" s="55"/>
      <c r="EQ64" s="55"/>
      <c r="ER64" s="55"/>
      <c r="ES64" s="55"/>
      <c r="ET64" s="55"/>
      <c r="EU64" s="55"/>
      <c r="EV64" s="55"/>
      <c r="EW64" s="55"/>
      <c r="EX64" s="55"/>
      <c r="EY64" s="55"/>
      <c r="EZ64" s="55"/>
      <c r="FA64" s="55"/>
      <c r="FB64" s="55"/>
      <c r="FC64" s="55"/>
      <c r="FD64" s="55"/>
      <c r="FE64" s="130"/>
    </row>
    <row r="65" spans="1:161" ht="17.25" customHeight="1" x14ac:dyDescent="0.2">
      <c r="A65" s="124"/>
      <c r="B65" s="124"/>
      <c r="C65" s="124"/>
      <c r="D65" s="124"/>
      <c r="E65" s="124"/>
      <c r="F65" s="124"/>
      <c r="G65" s="124"/>
      <c r="H65" s="124"/>
      <c r="I65" s="124"/>
      <c r="J65" s="124"/>
      <c r="K65" s="124"/>
      <c r="L65" s="124"/>
      <c r="M65" s="124"/>
      <c r="N65" s="124"/>
      <c r="O65" s="124"/>
      <c r="P65" s="124"/>
      <c r="BJ65" s="55"/>
      <c r="BK65" s="55"/>
      <c r="BL65" s="130"/>
      <c r="BM65" s="55"/>
      <c r="BN65" s="55"/>
      <c r="BO65" s="55"/>
      <c r="BP65" s="55"/>
      <c r="BQ65" s="55"/>
      <c r="BR65" s="55"/>
      <c r="BS65" s="55"/>
      <c r="BT65" s="55"/>
      <c r="BU65" s="55"/>
      <c r="BV65" s="55"/>
      <c r="BW65" s="55"/>
      <c r="BX65" s="130"/>
      <c r="BY65" s="55"/>
      <c r="BZ65" s="55"/>
      <c r="CA65" s="55"/>
      <c r="CB65" s="55"/>
      <c r="CC65" s="55"/>
      <c r="CD65" s="55"/>
      <c r="CE65" s="55"/>
      <c r="CF65" s="55"/>
      <c r="CG65" s="55"/>
      <c r="CH65" s="55"/>
      <c r="CI65" s="55"/>
      <c r="CJ65" s="55"/>
      <c r="CK65" s="55"/>
      <c r="CL65" s="55"/>
      <c r="CM65" s="55"/>
      <c r="CN65" s="55"/>
      <c r="CO65" s="55"/>
      <c r="CP65" s="55"/>
      <c r="CQ65" s="55"/>
      <c r="CR65" s="55"/>
      <c r="CS65" s="55"/>
      <c r="CT65" s="55"/>
      <c r="CU65" s="55"/>
      <c r="CV65" s="55"/>
      <c r="CW65" s="55"/>
      <c r="CX65" s="55"/>
      <c r="CY65" s="55"/>
      <c r="CZ65" s="55"/>
      <c r="DA65" s="55"/>
      <c r="DB65" s="55"/>
      <c r="DC65" s="55"/>
      <c r="DD65" s="55"/>
      <c r="DE65" s="55"/>
      <c r="DF65" s="55"/>
      <c r="DG65" s="55"/>
      <c r="DH65" s="55"/>
      <c r="DI65" s="55"/>
      <c r="DJ65" s="130"/>
      <c r="DK65" s="55"/>
      <c r="DL65" s="55"/>
      <c r="DM65" s="55"/>
      <c r="DN65" s="55"/>
      <c r="DO65" s="130"/>
      <c r="DP65" s="55"/>
      <c r="DQ65" s="55"/>
      <c r="DR65" s="55"/>
      <c r="DS65" s="55"/>
      <c r="DT65" s="55"/>
      <c r="DU65" s="55"/>
      <c r="DV65" s="55"/>
      <c r="DW65" s="55"/>
      <c r="DX65" s="55"/>
      <c r="DY65" s="55"/>
      <c r="DZ65" s="55"/>
      <c r="EA65" s="130"/>
      <c r="EB65" s="55"/>
      <c r="EC65" s="55"/>
      <c r="ED65" s="55"/>
      <c r="EE65" s="55"/>
      <c r="EF65" s="55"/>
      <c r="EG65" s="55"/>
      <c r="EH65" s="55"/>
      <c r="EI65" s="55"/>
      <c r="EJ65" s="55"/>
      <c r="EK65" s="55"/>
      <c r="EL65" s="55"/>
      <c r="EM65" s="55"/>
      <c r="EN65" s="55"/>
      <c r="EO65" s="55"/>
      <c r="EP65" s="55"/>
      <c r="EQ65" s="55"/>
      <c r="ER65" s="55"/>
      <c r="ES65" s="55"/>
      <c r="ET65" s="55"/>
      <c r="EU65" s="55"/>
      <c r="EV65" s="55"/>
      <c r="EW65" s="55"/>
      <c r="EX65" s="55"/>
      <c r="EY65" s="55"/>
      <c r="EZ65" s="55"/>
      <c r="FA65" s="55"/>
      <c r="FB65" s="55"/>
      <c r="FC65" s="55"/>
      <c r="FD65" s="55"/>
      <c r="FE65" s="130"/>
    </row>
    <row r="66" spans="1:161" ht="17.25" customHeight="1" x14ac:dyDescent="0.2">
      <c r="A66" s="124"/>
      <c r="B66" s="124"/>
      <c r="C66" s="124"/>
      <c r="D66" s="124"/>
      <c r="E66" s="124"/>
      <c r="F66" s="124"/>
      <c r="G66" s="124"/>
      <c r="H66" s="124"/>
      <c r="I66" s="124"/>
      <c r="J66" s="124"/>
      <c r="K66" s="124"/>
      <c r="L66" s="124"/>
      <c r="M66" s="124"/>
      <c r="N66" s="124"/>
      <c r="O66" s="124"/>
      <c r="P66" s="124"/>
      <c r="BJ66" s="55"/>
      <c r="BK66" s="55"/>
      <c r="BL66" s="130"/>
      <c r="BM66" s="55"/>
      <c r="BN66" s="55"/>
      <c r="BO66" s="55"/>
      <c r="BP66" s="55"/>
      <c r="BQ66" s="55"/>
      <c r="BR66" s="55"/>
      <c r="BS66" s="55"/>
      <c r="BT66" s="55"/>
      <c r="BU66" s="55"/>
      <c r="BV66" s="55"/>
      <c r="BW66" s="55"/>
      <c r="BX66" s="130"/>
      <c r="BY66" s="55"/>
      <c r="BZ66" s="55"/>
      <c r="CA66" s="55"/>
      <c r="CB66" s="55"/>
      <c r="CC66" s="55"/>
      <c r="CD66" s="55"/>
      <c r="CE66" s="55"/>
      <c r="CF66" s="55"/>
      <c r="CG66" s="55"/>
      <c r="CH66" s="55"/>
      <c r="CI66" s="55"/>
      <c r="CJ66" s="55"/>
      <c r="CK66" s="55"/>
      <c r="CL66" s="55"/>
      <c r="CM66" s="55"/>
      <c r="CN66" s="55"/>
      <c r="CO66" s="55"/>
      <c r="CP66" s="55"/>
      <c r="CQ66" s="55"/>
      <c r="CR66" s="55"/>
      <c r="CS66" s="55"/>
      <c r="CT66" s="55"/>
      <c r="CU66" s="55"/>
      <c r="CV66" s="55"/>
      <c r="CW66" s="55"/>
      <c r="CX66" s="55"/>
      <c r="CY66" s="55"/>
      <c r="CZ66" s="55"/>
      <c r="DA66" s="55"/>
      <c r="DB66" s="55"/>
      <c r="DC66" s="55"/>
      <c r="DD66" s="55"/>
      <c r="DE66" s="55"/>
      <c r="DF66" s="55"/>
      <c r="DG66" s="55"/>
      <c r="DH66" s="55"/>
      <c r="DI66" s="55"/>
      <c r="DJ66" s="130"/>
      <c r="DK66" s="55"/>
      <c r="DL66" s="55"/>
      <c r="DM66" s="55"/>
      <c r="DN66" s="55"/>
      <c r="DO66" s="130"/>
      <c r="DP66" s="55"/>
      <c r="DQ66" s="55"/>
      <c r="DR66" s="55"/>
      <c r="DS66" s="55"/>
      <c r="DT66" s="55"/>
      <c r="DU66" s="55"/>
      <c r="DV66" s="55"/>
      <c r="DW66" s="55"/>
      <c r="DX66" s="55"/>
      <c r="DY66" s="55"/>
      <c r="DZ66" s="55"/>
      <c r="EA66" s="130"/>
      <c r="EB66" s="55"/>
      <c r="EC66" s="55"/>
      <c r="ED66" s="55"/>
      <c r="EE66" s="55"/>
      <c r="EF66" s="55"/>
      <c r="EG66" s="55"/>
      <c r="EH66" s="55"/>
      <c r="EI66" s="55"/>
      <c r="EJ66" s="55"/>
      <c r="EK66" s="55"/>
      <c r="EL66" s="55"/>
      <c r="EM66" s="55"/>
      <c r="EN66" s="55"/>
      <c r="EO66" s="55"/>
      <c r="EP66" s="55"/>
      <c r="EQ66" s="55"/>
      <c r="ER66" s="55"/>
      <c r="ES66" s="55"/>
      <c r="ET66" s="55"/>
      <c r="EU66" s="55"/>
      <c r="EV66" s="55"/>
      <c r="EW66" s="55"/>
      <c r="EX66" s="55"/>
      <c r="EY66" s="55"/>
      <c r="EZ66" s="55"/>
      <c r="FA66" s="55"/>
      <c r="FB66" s="55"/>
      <c r="FC66" s="55"/>
      <c r="FD66" s="55"/>
      <c r="FE66" s="130"/>
    </row>
    <row r="67" spans="1:161" ht="17.25" customHeight="1" x14ac:dyDescent="0.2">
      <c r="A67" s="124"/>
      <c r="B67" s="124"/>
      <c r="C67" s="124"/>
      <c r="D67" s="124"/>
      <c r="E67" s="124"/>
      <c r="F67" s="124"/>
      <c r="G67" s="124"/>
      <c r="H67" s="124"/>
      <c r="I67" s="124"/>
      <c r="J67" s="124"/>
      <c r="K67" s="124"/>
      <c r="L67" s="124"/>
      <c r="M67" s="124"/>
      <c r="N67" s="124"/>
      <c r="O67" s="124"/>
      <c r="P67" s="124"/>
      <c r="BJ67" s="55"/>
      <c r="BK67" s="55"/>
      <c r="BL67" s="130"/>
      <c r="BM67" s="55"/>
      <c r="BN67" s="55"/>
      <c r="BO67" s="55"/>
      <c r="BP67" s="55"/>
      <c r="BQ67" s="55"/>
      <c r="BR67" s="55"/>
      <c r="BS67" s="55"/>
      <c r="BT67" s="55"/>
      <c r="BU67" s="55"/>
      <c r="BV67" s="55"/>
      <c r="BW67" s="55"/>
      <c r="BX67" s="130"/>
      <c r="BY67" s="55"/>
      <c r="BZ67" s="55"/>
      <c r="CA67" s="55"/>
      <c r="CB67" s="55"/>
      <c r="CC67" s="55"/>
      <c r="CD67" s="55"/>
      <c r="CE67" s="55"/>
      <c r="CF67" s="55"/>
      <c r="CG67" s="55"/>
      <c r="CH67" s="55"/>
      <c r="CI67" s="55"/>
      <c r="CJ67" s="55"/>
      <c r="CK67" s="55"/>
      <c r="CL67" s="55"/>
      <c r="CM67" s="55"/>
      <c r="CN67" s="55"/>
      <c r="CO67" s="55"/>
      <c r="CP67" s="55"/>
      <c r="CQ67" s="55"/>
      <c r="CR67" s="55"/>
      <c r="CS67" s="55"/>
      <c r="CT67" s="55"/>
      <c r="CU67" s="55"/>
      <c r="CV67" s="55"/>
      <c r="CW67" s="55"/>
      <c r="CX67" s="55"/>
      <c r="CY67" s="55"/>
      <c r="CZ67" s="55"/>
      <c r="DA67" s="55"/>
      <c r="DB67" s="55"/>
      <c r="DC67" s="55"/>
      <c r="DD67" s="55"/>
      <c r="DE67" s="55"/>
      <c r="DF67" s="55"/>
      <c r="DG67" s="55"/>
      <c r="DH67" s="55"/>
      <c r="DI67" s="55"/>
      <c r="DJ67" s="130"/>
      <c r="DK67" s="55"/>
      <c r="DL67" s="55"/>
      <c r="DM67" s="55"/>
      <c r="DN67" s="55"/>
      <c r="DO67" s="130"/>
      <c r="DP67" s="55"/>
      <c r="DQ67" s="55"/>
      <c r="DR67" s="55"/>
      <c r="DS67" s="55"/>
      <c r="DT67" s="55"/>
      <c r="DU67" s="55"/>
      <c r="DV67" s="55"/>
      <c r="DW67" s="55"/>
      <c r="DX67" s="55"/>
      <c r="DY67" s="55"/>
      <c r="DZ67" s="55"/>
      <c r="EA67" s="130"/>
      <c r="EB67" s="55"/>
      <c r="EC67" s="55"/>
      <c r="ED67" s="55"/>
      <c r="EE67" s="55"/>
      <c r="EF67" s="55"/>
      <c r="EG67" s="55"/>
      <c r="EH67" s="55"/>
      <c r="EI67" s="55"/>
      <c r="EJ67" s="55"/>
      <c r="EK67" s="55"/>
      <c r="EL67" s="55"/>
      <c r="EM67" s="55"/>
      <c r="EN67" s="55"/>
      <c r="EO67" s="55"/>
      <c r="EP67" s="55"/>
      <c r="EQ67" s="55"/>
      <c r="ER67" s="55"/>
      <c r="ES67" s="55"/>
      <c r="ET67" s="55"/>
      <c r="EU67" s="55"/>
      <c r="EV67" s="55"/>
      <c r="EW67" s="55"/>
      <c r="EX67" s="55"/>
      <c r="EY67" s="55"/>
      <c r="EZ67" s="55"/>
      <c r="FA67" s="55"/>
      <c r="FB67" s="55"/>
      <c r="FC67" s="55"/>
      <c r="FD67" s="55"/>
      <c r="FE67" s="130"/>
    </row>
    <row r="68" spans="1:161" ht="17.25" customHeight="1" x14ac:dyDescent="0.2">
      <c r="A68" s="124"/>
      <c r="B68" s="124"/>
      <c r="C68" s="124"/>
      <c r="D68" s="124"/>
      <c r="E68" s="124"/>
      <c r="F68" s="124"/>
      <c r="G68" s="124"/>
      <c r="H68" s="124"/>
      <c r="I68" s="124"/>
      <c r="J68" s="124"/>
      <c r="K68" s="124"/>
      <c r="L68" s="124"/>
      <c r="M68" s="124"/>
      <c r="N68" s="124"/>
      <c r="O68" s="124"/>
      <c r="P68" s="124"/>
      <c r="BJ68" s="55"/>
      <c r="BK68" s="55"/>
      <c r="BL68" s="130"/>
      <c r="BM68" s="55"/>
      <c r="BN68" s="55"/>
      <c r="BO68" s="55"/>
      <c r="BP68" s="55"/>
      <c r="BQ68" s="55"/>
      <c r="BR68" s="55"/>
      <c r="BS68" s="55"/>
      <c r="BT68" s="55"/>
      <c r="BU68" s="55"/>
      <c r="BV68" s="55"/>
      <c r="BW68" s="55"/>
      <c r="BX68" s="130"/>
      <c r="BY68" s="55"/>
      <c r="BZ68" s="55"/>
      <c r="CA68" s="55"/>
      <c r="CB68" s="55"/>
      <c r="CC68" s="55"/>
      <c r="CD68" s="55"/>
      <c r="CE68" s="55"/>
      <c r="CF68" s="55"/>
      <c r="CG68" s="55"/>
      <c r="CH68" s="55"/>
      <c r="CI68" s="55"/>
      <c r="CJ68" s="55"/>
      <c r="CK68" s="55"/>
      <c r="CL68" s="55"/>
      <c r="CM68" s="55"/>
      <c r="CN68" s="55"/>
      <c r="CO68" s="55"/>
      <c r="CP68" s="55"/>
      <c r="CQ68" s="55"/>
      <c r="CR68" s="55"/>
      <c r="CS68" s="55"/>
      <c r="CT68" s="55"/>
      <c r="CU68" s="55"/>
      <c r="CV68" s="55"/>
      <c r="CW68" s="55"/>
      <c r="CX68" s="55"/>
      <c r="CY68" s="55"/>
      <c r="CZ68" s="55"/>
      <c r="DA68" s="55"/>
      <c r="DB68" s="55"/>
      <c r="DC68" s="55"/>
      <c r="DD68" s="55"/>
      <c r="DE68" s="55"/>
      <c r="DF68" s="55"/>
      <c r="DG68" s="55"/>
      <c r="DH68" s="55"/>
      <c r="DI68" s="55"/>
      <c r="DJ68" s="130"/>
      <c r="DK68" s="55"/>
      <c r="DL68" s="55"/>
      <c r="DM68" s="55"/>
      <c r="DN68" s="55"/>
      <c r="DO68" s="130"/>
      <c r="DP68" s="55"/>
      <c r="DQ68" s="55"/>
      <c r="DR68" s="55"/>
      <c r="DS68" s="55"/>
      <c r="DT68" s="55"/>
      <c r="DU68" s="55"/>
      <c r="DV68" s="55"/>
      <c r="DW68" s="55"/>
      <c r="DX68" s="55"/>
      <c r="DY68" s="55"/>
      <c r="DZ68" s="55"/>
      <c r="EA68" s="130"/>
      <c r="EB68" s="55"/>
      <c r="EC68" s="55"/>
      <c r="ED68" s="55"/>
      <c r="EE68" s="55"/>
      <c r="EF68" s="55"/>
      <c r="EG68" s="55"/>
      <c r="EH68" s="55"/>
      <c r="EI68" s="55"/>
      <c r="EJ68" s="55"/>
      <c r="EK68" s="55"/>
      <c r="EL68" s="55"/>
      <c r="EM68" s="55"/>
      <c r="EN68" s="55"/>
      <c r="EO68" s="55"/>
      <c r="EP68" s="55"/>
      <c r="EQ68" s="55"/>
      <c r="ER68" s="55"/>
      <c r="ES68" s="55"/>
      <c r="ET68" s="55"/>
      <c r="EU68" s="55"/>
      <c r="EV68" s="55"/>
      <c r="EW68" s="55"/>
      <c r="EX68" s="55"/>
      <c r="EY68" s="55"/>
      <c r="EZ68" s="55"/>
      <c r="FA68" s="55"/>
      <c r="FB68" s="55"/>
      <c r="FC68" s="55"/>
      <c r="FD68" s="55"/>
      <c r="FE68" s="130"/>
    </row>
    <row r="69" spans="1:161" ht="17.25" customHeight="1" x14ac:dyDescent="0.2">
      <c r="A69" s="124"/>
      <c r="B69" s="124"/>
      <c r="C69" s="124"/>
      <c r="D69" s="124"/>
      <c r="E69" s="124"/>
      <c r="F69" s="124"/>
      <c r="G69" s="124"/>
      <c r="H69" s="124"/>
      <c r="I69" s="124"/>
      <c r="J69" s="124"/>
      <c r="K69" s="124"/>
      <c r="L69" s="124"/>
      <c r="M69" s="124"/>
      <c r="N69" s="124"/>
      <c r="O69" s="124"/>
      <c r="P69" s="124"/>
      <c r="BJ69" s="55"/>
      <c r="BK69" s="55"/>
      <c r="BL69" s="130"/>
      <c r="BM69" s="55"/>
      <c r="BN69" s="55"/>
      <c r="BO69" s="55"/>
      <c r="BP69" s="55"/>
      <c r="BQ69" s="55"/>
      <c r="BR69" s="55"/>
      <c r="BS69" s="55"/>
      <c r="BT69" s="55"/>
      <c r="BU69" s="55"/>
      <c r="BV69" s="55"/>
      <c r="BW69" s="55"/>
      <c r="BX69" s="130"/>
      <c r="BY69" s="55"/>
      <c r="BZ69" s="55"/>
      <c r="CA69" s="55"/>
      <c r="CB69" s="55"/>
      <c r="CC69" s="55"/>
      <c r="CD69" s="55"/>
      <c r="CE69" s="55"/>
      <c r="CF69" s="55"/>
      <c r="CG69" s="55"/>
      <c r="CH69" s="55"/>
      <c r="CI69" s="55"/>
      <c r="CJ69" s="55"/>
      <c r="CK69" s="55"/>
      <c r="CL69" s="55"/>
      <c r="CM69" s="55"/>
      <c r="CN69" s="55"/>
      <c r="CO69" s="55"/>
      <c r="CP69" s="55"/>
      <c r="CQ69" s="55"/>
      <c r="CR69" s="55"/>
      <c r="CS69" s="55"/>
      <c r="CT69" s="55"/>
      <c r="CU69" s="55"/>
      <c r="CV69" s="55"/>
      <c r="CW69" s="55"/>
      <c r="CX69" s="55"/>
      <c r="CY69" s="55"/>
      <c r="CZ69" s="55"/>
      <c r="DA69" s="55"/>
      <c r="DB69" s="55"/>
      <c r="DC69" s="55"/>
      <c r="DD69" s="55"/>
      <c r="DE69" s="55"/>
      <c r="DF69" s="55"/>
      <c r="DG69" s="55"/>
      <c r="DH69" s="55"/>
      <c r="DI69" s="55"/>
      <c r="DJ69" s="130"/>
      <c r="DK69" s="55"/>
      <c r="DL69" s="55"/>
      <c r="DM69" s="55"/>
      <c r="DN69" s="55"/>
      <c r="DO69" s="130"/>
      <c r="DP69" s="55"/>
      <c r="DQ69" s="55"/>
      <c r="DR69" s="55"/>
      <c r="DS69" s="55"/>
      <c r="DT69" s="55"/>
      <c r="DU69" s="55"/>
      <c r="DV69" s="55"/>
      <c r="DW69" s="55"/>
      <c r="DX69" s="55"/>
      <c r="DY69" s="55"/>
      <c r="DZ69" s="55"/>
      <c r="EA69" s="130"/>
      <c r="EB69" s="55"/>
      <c r="EC69" s="55"/>
      <c r="ED69" s="55"/>
      <c r="EE69" s="55"/>
      <c r="EF69" s="55"/>
      <c r="EG69" s="55"/>
      <c r="EH69" s="55"/>
      <c r="EI69" s="55"/>
      <c r="EJ69" s="55"/>
      <c r="EK69" s="55"/>
      <c r="EL69" s="55"/>
      <c r="EM69" s="55"/>
      <c r="EN69" s="55"/>
      <c r="EO69" s="55"/>
      <c r="EP69" s="55"/>
      <c r="EQ69" s="55"/>
      <c r="ER69" s="55"/>
      <c r="ES69" s="55"/>
      <c r="ET69" s="55"/>
      <c r="EU69" s="55"/>
      <c r="EV69" s="55"/>
      <c r="EW69" s="55"/>
      <c r="EX69" s="55"/>
      <c r="EY69" s="55"/>
      <c r="EZ69" s="55"/>
      <c r="FA69" s="55"/>
      <c r="FB69" s="55"/>
      <c r="FC69" s="55"/>
      <c r="FD69" s="55"/>
      <c r="FE69" s="130"/>
    </row>
    <row r="70" spans="1:161" ht="44.25" customHeight="1" x14ac:dyDescent="0.45">
      <c r="A70" s="150"/>
      <c r="B70" s="150"/>
      <c r="C70" s="150"/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150"/>
      <c r="AC70" s="150"/>
      <c r="AD70" s="150"/>
      <c r="AE70" s="150"/>
      <c r="AF70" s="150"/>
      <c r="AG70" s="150"/>
      <c r="AH70" s="150"/>
      <c r="AI70" s="150"/>
      <c r="AJ70" s="150"/>
      <c r="AK70" s="150"/>
      <c r="AL70" s="150"/>
      <c r="AM70" s="150"/>
      <c r="AN70" s="150"/>
      <c r="AO70" s="150"/>
      <c r="AP70" s="150"/>
      <c r="AQ70" s="150"/>
      <c r="AR70" s="150"/>
      <c r="AS70" s="150"/>
      <c r="AT70" s="150"/>
      <c r="AU70" s="150"/>
      <c r="AV70" s="150"/>
      <c r="AW70" s="150"/>
      <c r="AX70" s="150"/>
      <c r="AY70" s="150"/>
      <c r="AZ70" s="150"/>
      <c r="BA70" s="150"/>
      <c r="BB70" s="150"/>
      <c r="BC70" s="150"/>
      <c r="BD70" s="150"/>
      <c r="BE70" s="150"/>
      <c r="BF70" s="150"/>
      <c r="BG70" s="150"/>
      <c r="BH70" s="150"/>
      <c r="BI70" s="150"/>
      <c r="BJ70" s="142"/>
      <c r="BK70" s="142"/>
      <c r="BL70" s="143"/>
      <c r="BM70" s="142"/>
      <c r="BN70" s="142"/>
      <c r="BO70" s="142"/>
      <c r="BP70" s="142"/>
      <c r="BQ70" s="142"/>
      <c r="BR70" s="142"/>
      <c r="BS70" s="142"/>
      <c r="BT70" s="142"/>
      <c r="BU70" s="142"/>
      <c r="BV70" s="142"/>
      <c r="BW70" s="142"/>
      <c r="BX70" s="143"/>
      <c r="BY70" s="142"/>
      <c r="BZ70" s="142"/>
      <c r="CA70" s="141" t="s">
        <v>129</v>
      </c>
      <c r="CB70" s="141"/>
      <c r="CC70" s="141"/>
      <c r="CD70" s="141"/>
      <c r="CE70" s="141"/>
      <c r="CF70" s="141"/>
      <c r="CG70" s="141"/>
      <c r="CH70" s="142"/>
      <c r="CI70" s="141" t="s">
        <v>130</v>
      </c>
      <c r="CJ70" s="141"/>
      <c r="CK70" s="141"/>
      <c r="CL70" s="141"/>
      <c r="CM70" s="141"/>
      <c r="CN70" s="141"/>
      <c r="CO70" s="141"/>
      <c r="CP70" s="142"/>
      <c r="CQ70" s="141" t="s">
        <v>131</v>
      </c>
      <c r="CR70" s="141"/>
      <c r="CS70" s="141"/>
      <c r="CT70" s="141"/>
      <c r="CU70" s="141"/>
      <c r="CV70" s="141"/>
      <c r="CW70" s="141"/>
      <c r="CX70" s="142"/>
      <c r="CY70" s="141" t="s">
        <v>136</v>
      </c>
      <c r="CZ70" s="141"/>
      <c r="DA70" s="141"/>
      <c r="DB70" s="141"/>
      <c r="DC70" s="141"/>
      <c r="DD70" s="141"/>
      <c r="DE70" s="141"/>
      <c r="DF70" s="142"/>
      <c r="DG70" s="142"/>
      <c r="DH70" s="142"/>
      <c r="DI70" s="142"/>
      <c r="DJ70" s="143"/>
      <c r="DK70" s="142"/>
      <c r="DL70" s="142"/>
      <c r="DM70" s="142"/>
      <c r="DN70" s="142"/>
      <c r="DO70" s="143"/>
      <c r="DP70" s="142"/>
      <c r="DQ70" s="142"/>
      <c r="DR70" s="142"/>
      <c r="DS70" s="142"/>
      <c r="DT70" s="142"/>
      <c r="DU70" s="142"/>
      <c r="DV70" s="142"/>
      <c r="DW70" s="142"/>
      <c r="DX70" s="142"/>
      <c r="DY70" s="142"/>
      <c r="DZ70" s="142"/>
      <c r="EA70" s="143"/>
      <c r="EB70" s="142"/>
      <c r="EC70" s="142"/>
      <c r="ED70" s="141" t="s">
        <v>163</v>
      </c>
      <c r="EE70" s="141"/>
      <c r="EF70" s="141"/>
      <c r="EG70" s="141"/>
      <c r="EH70" s="141"/>
      <c r="EI70" s="141"/>
      <c r="EJ70" s="141"/>
      <c r="EK70" s="142"/>
      <c r="EL70" s="141" t="s">
        <v>164</v>
      </c>
      <c r="EM70" s="141"/>
      <c r="EN70" s="141"/>
      <c r="EO70" s="141"/>
      <c r="EP70" s="141"/>
      <c r="EQ70" s="141"/>
      <c r="ER70" s="141"/>
      <c r="ES70" s="142"/>
      <c r="ET70" s="141" t="s">
        <v>166</v>
      </c>
      <c r="EU70" s="141"/>
      <c r="EV70" s="141"/>
      <c r="EW70" s="141"/>
      <c r="EX70" s="141"/>
      <c r="EY70" s="141"/>
      <c r="EZ70" s="141"/>
      <c r="FA70" s="142"/>
      <c r="FB70" s="142"/>
      <c r="FC70" s="142"/>
      <c r="FD70" s="142"/>
      <c r="FE70" s="130"/>
    </row>
    <row r="71" spans="1:161" ht="17.25" customHeight="1" x14ac:dyDescent="0.2">
      <c r="A71" s="124"/>
      <c r="B71" s="124"/>
      <c r="C71" s="124"/>
      <c r="D71" s="124"/>
      <c r="E71" s="124"/>
      <c r="F71" s="124"/>
      <c r="G71" s="124"/>
      <c r="H71" s="124"/>
      <c r="I71" s="124"/>
      <c r="J71" s="124"/>
      <c r="K71" s="124"/>
      <c r="L71" s="124"/>
      <c r="M71" s="124"/>
      <c r="N71" s="124"/>
      <c r="O71" s="124"/>
      <c r="P71" s="124"/>
      <c r="BJ71" s="55"/>
      <c r="BK71" s="55"/>
      <c r="BL71" s="130"/>
      <c r="BM71" s="55"/>
      <c r="BN71" s="55"/>
      <c r="BO71" s="55"/>
      <c r="BP71" s="55"/>
      <c r="BQ71" s="55"/>
      <c r="BR71" s="55"/>
      <c r="BS71" s="55"/>
      <c r="BT71" s="55"/>
      <c r="BU71" s="55"/>
      <c r="BV71" s="55"/>
      <c r="BW71" s="55"/>
      <c r="BX71" s="130"/>
      <c r="BY71" s="55"/>
      <c r="BZ71" s="55"/>
      <c r="CA71" s="55"/>
      <c r="CB71" s="55"/>
      <c r="CC71" s="55"/>
      <c r="CD71" s="55"/>
      <c r="CE71" s="55"/>
      <c r="CF71" s="55"/>
      <c r="CG71" s="55"/>
      <c r="CH71" s="55"/>
      <c r="CI71" s="55"/>
      <c r="CJ71" s="55"/>
      <c r="CK71" s="55"/>
      <c r="CL71" s="55"/>
      <c r="CM71" s="55"/>
      <c r="CN71" s="55"/>
      <c r="CO71" s="55"/>
      <c r="CP71" s="55"/>
      <c r="CQ71" s="55"/>
      <c r="CR71" s="55"/>
      <c r="CS71" s="55"/>
      <c r="CT71" s="55"/>
      <c r="CU71" s="55"/>
      <c r="CV71" s="55"/>
      <c r="CW71" s="55"/>
      <c r="CX71" s="55"/>
      <c r="CY71" s="55"/>
      <c r="CZ71" s="55"/>
      <c r="DA71" s="55"/>
      <c r="DB71" s="55"/>
      <c r="DC71" s="55"/>
      <c r="DD71" s="55"/>
      <c r="DE71" s="55"/>
      <c r="DF71" s="55"/>
      <c r="DG71" s="55"/>
      <c r="DH71" s="55"/>
      <c r="DI71" s="55"/>
      <c r="DJ71" s="130"/>
      <c r="DK71" s="55"/>
      <c r="DL71" s="55"/>
      <c r="DM71" s="55"/>
      <c r="DN71" s="55"/>
      <c r="DO71" s="130"/>
      <c r="DP71" s="55"/>
      <c r="DQ71" s="55"/>
      <c r="DR71" s="55"/>
      <c r="DS71" s="55"/>
      <c r="DT71" s="55"/>
      <c r="DU71" s="55"/>
      <c r="DV71" s="55"/>
      <c r="DW71" s="55"/>
      <c r="DX71" s="55"/>
      <c r="DY71" s="55"/>
      <c r="DZ71" s="55"/>
      <c r="EA71" s="130"/>
      <c r="EB71" s="55"/>
      <c r="EC71" s="55"/>
      <c r="ED71" s="55"/>
      <c r="EE71" s="55"/>
      <c r="EF71" s="55"/>
      <c r="EG71" s="55"/>
      <c r="EH71" s="55"/>
      <c r="EI71" s="55"/>
      <c r="EJ71" s="55"/>
      <c r="EK71" s="55"/>
      <c r="EL71" s="55"/>
      <c r="EM71" s="55"/>
      <c r="EN71" s="55"/>
      <c r="EO71" s="55"/>
      <c r="EP71" s="55"/>
      <c r="EQ71" s="55"/>
      <c r="ER71" s="55"/>
      <c r="ES71" s="55"/>
      <c r="ET71" s="55"/>
      <c r="EU71" s="55"/>
      <c r="EV71" s="55"/>
      <c r="EW71" s="55"/>
      <c r="EX71" s="55"/>
      <c r="EY71" s="55"/>
      <c r="EZ71" s="55"/>
      <c r="FA71" s="55"/>
      <c r="FB71" s="55"/>
      <c r="FC71" s="55"/>
      <c r="FD71" s="55"/>
      <c r="FE71" s="130"/>
    </row>
    <row r="72" spans="1:161" ht="17.25" customHeight="1" x14ac:dyDescent="0.2">
      <c r="A72" s="124"/>
      <c r="B72" s="124"/>
      <c r="C72" s="124"/>
      <c r="D72" s="124"/>
      <c r="E72" s="124"/>
      <c r="F72" s="124"/>
      <c r="G72" s="124"/>
      <c r="H72" s="124"/>
      <c r="I72" s="124"/>
      <c r="J72" s="124"/>
      <c r="K72" s="124"/>
      <c r="L72" s="124"/>
      <c r="M72" s="124"/>
      <c r="N72" s="124"/>
      <c r="O72" s="124"/>
      <c r="P72" s="124"/>
      <c r="BJ72" s="55"/>
      <c r="BK72" s="55"/>
      <c r="BL72" s="130"/>
      <c r="BM72" s="55"/>
      <c r="BN72" s="55"/>
      <c r="BO72" s="55"/>
      <c r="BP72" s="55"/>
      <c r="BQ72" s="55"/>
      <c r="BR72" s="55"/>
      <c r="BS72" s="55"/>
      <c r="BT72" s="55"/>
      <c r="BU72" s="55"/>
      <c r="BV72" s="55"/>
      <c r="BW72" s="55"/>
      <c r="BX72" s="130"/>
      <c r="BY72" s="55"/>
      <c r="BZ72" s="55"/>
      <c r="CA72" s="54" t="s">
        <v>63</v>
      </c>
      <c r="CB72" s="271" t="s">
        <v>186</v>
      </c>
      <c r="CC72" s="271"/>
      <c r="CD72" s="271"/>
      <c r="CE72" s="271"/>
      <c r="CF72" s="271"/>
      <c r="CG72" s="271"/>
      <c r="CH72" s="55"/>
      <c r="CI72" s="167" t="s">
        <v>189</v>
      </c>
      <c r="CJ72" s="280" t="s">
        <v>98</v>
      </c>
      <c r="CK72" s="280"/>
      <c r="CL72" s="280"/>
      <c r="CM72" s="280"/>
      <c r="CN72" s="280"/>
      <c r="CO72" s="280"/>
      <c r="CP72" s="55"/>
      <c r="CQ72" s="54" t="s">
        <v>63</v>
      </c>
      <c r="CR72" s="271" t="s">
        <v>98</v>
      </c>
      <c r="CS72" s="271"/>
      <c r="CT72" s="271"/>
      <c r="CU72" s="271"/>
      <c r="CV72" s="271"/>
      <c r="CW72" s="271"/>
      <c r="CX72" s="55"/>
      <c r="CY72" s="55"/>
      <c r="CZ72" s="55"/>
      <c r="DA72" s="55"/>
      <c r="DB72" s="55"/>
      <c r="DC72" s="55"/>
      <c r="DD72" s="55"/>
      <c r="DE72" s="55"/>
      <c r="DF72" s="55"/>
      <c r="DG72" s="55"/>
      <c r="DH72" s="55"/>
      <c r="DI72" s="55"/>
      <c r="DJ72" s="130"/>
      <c r="DK72" s="55"/>
      <c r="DL72" s="55"/>
      <c r="DM72" s="55"/>
      <c r="DN72" s="55"/>
      <c r="DO72" s="130"/>
      <c r="DP72" s="55"/>
      <c r="DQ72" s="55"/>
      <c r="DR72" s="55"/>
      <c r="DS72" s="55"/>
      <c r="DT72" s="55"/>
      <c r="DU72" s="55"/>
      <c r="DV72" s="55"/>
      <c r="DW72" s="55"/>
      <c r="DX72" s="55"/>
      <c r="DY72" s="55"/>
      <c r="DZ72" s="55"/>
      <c r="EA72" s="130"/>
      <c r="EB72" s="55"/>
      <c r="EC72" s="55"/>
      <c r="ED72" s="54" t="s">
        <v>63</v>
      </c>
      <c r="EE72" s="271" t="s">
        <v>99</v>
      </c>
      <c r="EF72" s="271"/>
      <c r="EG72" s="271"/>
      <c r="EH72" s="271"/>
      <c r="EI72" s="271"/>
      <c r="EJ72" s="271"/>
      <c r="EK72" s="55"/>
      <c r="EL72" s="54" t="s">
        <v>63</v>
      </c>
      <c r="EM72" s="271" t="s">
        <v>99</v>
      </c>
      <c r="EN72" s="271"/>
      <c r="EO72" s="271"/>
      <c r="EP72" s="271"/>
      <c r="EQ72" s="271"/>
      <c r="ER72" s="271"/>
      <c r="ES72" s="55"/>
      <c r="ET72" s="55"/>
      <c r="EU72" s="55"/>
      <c r="EV72" s="55"/>
      <c r="EW72" s="55"/>
      <c r="EX72" s="55"/>
      <c r="EY72" s="55"/>
      <c r="EZ72" s="55"/>
      <c r="FA72" s="55"/>
      <c r="FB72" s="55"/>
      <c r="FC72" s="55"/>
      <c r="FD72" s="55"/>
      <c r="FE72" s="130"/>
    </row>
    <row r="73" spans="1:161" ht="17.25" customHeight="1" x14ac:dyDescent="0.2">
      <c r="A73" s="124"/>
      <c r="B73" s="124"/>
      <c r="C73" s="124"/>
      <c r="D73" s="124"/>
      <c r="E73" s="124"/>
      <c r="F73" s="124"/>
      <c r="G73" s="124"/>
      <c r="H73" s="124"/>
      <c r="I73" s="124"/>
      <c r="J73" s="124"/>
      <c r="K73" s="124"/>
      <c r="L73" s="124"/>
      <c r="M73" s="124"/>
      <c r="N73" s="124"/>
      <c r="O73" s="124"/>
      <c r="P73" s="124"/>
      <c r="BJ73" s="55"/>
      <c r="BK73" s="55"/>
      <c r="BL73" s="130"/>
      <c r="BM73" s="55"/>
      <c r="BN73" s="55"/>
      <c r="BO73" s="55"/>
      <c r="BP73" s="55"/>
      <c r="BQ73" s="55"/>
      <c r="BR73" s="55"/>
      <c r="BS73" s="55"/>
      <c r="BT73" s="55"/>
      <c r="BU73" s="55"/>
      <c r="BV73" s="55"/>
      <c r="BW73" s="55"/>
      <c r="BX73" s="130"/>
      <c r="BY73" s="55"/>
      <c r="BZ73" s="55"/>
      <c r="CA73" s="54"/>
      <c r="CB73" s="276" t="s">
        <v>185</v>
      </c>
      <c r="CC73" s="276"/>
      <c r="CD73" s="276"/>
      <c r="CE73" s="276"/>
      <c r="CF73" s="276"/>
      <c r="CG73" s="276"/>
      <c r="CH73" s="55"/>
      <c r="CI73" s="167"/>
      <c r="CJ73" s="280"/>
      <c r="CK73" s="280"/>
      <c r="CL73" s="280"/>
      <c r="CM73" s="280"/>
      <c r="CN73" s="280"/>
      <c r="CO73" s="280"/>
      <c r="CP73" s="55"/>
      <c r="CQ73" s="54" t="s">
        <v>64</v>
      </c>
      <c r="CR73" s="271" t="s">
        <v>99</v>
      </c>
      <c r="CS73" s="271"/>
      <c r="CT73" s="271"/>
      <c r="CU73" s="271"/>
      <c r="CV73" s="271"/>
      <c r="CW73" s="271"/>
      <c r="CX73" s="55"/>
      <c r="CY73" s="55"/>
      <c r="CZ73" s="55"/>
      <c r="DA73" s="55"/>
      <c r="DB73" s="55"/>
      <c r="DC73" s="55"/>
      <c r="DD73" s="55"/>
      <c r="DE73" s="55"/>
      <c r="DF73" s="55"/>
      <c r="DG73" s="55"/>
      <c r="DH73" s="55"/>
      <c r="DI73" s="55"/>
      <c r="DJ73" s="130"/>
      <c r="DK73" s="55"/>
      <c r="DL73" s="55"/>
      <c r="DM73" s="55"/>
      <c r="DN73" s="55"/>
      <c r="DO73" s="130"/>
      <c r="DP73" s="55"/>
      <c r="DQ73" s="55"/>
      <c r="DR73" s="55"/>
      <c r="DS73" s="55"/>
      <c r="DT73" s="55"/>
      <c r="DU73" s="55"/>
      <c r="DV73" s="55"/>
      <c r="DW73" s="55"/>
      <c r="DX73" s="55"/>
      <c r="DY73" s="55"/>
      <c r="DZ73" s="55"/>
      <c r="EA73" s="130"/>
      <c r="EB73" s="55"/>
      <c r="EC73" s="55"/>
      <c r="ED73" s="4"/>
      <c r="EE73" s="271"/>
      <c r="EF73" s="271"/>
      <c r="EG73" s="271"/>
      <c r="EH73" s="271"/>
      <c r="EI73" s="271"/>
      <c r="EJ73" s="271"/>
      <c r="EK73" s="55"/>
      <c r="EL73" s="4"/>
      <c r="EM73" s="271"/>
      <c r="EN73" s="271"/>
      <c r="EO73" s="271"/>
      <c r="EP73" s="271"/>
      <c r="EQ73" s="271"/>
      <c r="ER73" s="271"/>
      <c r="ES73" s="55"/>
      <c r="ET73" s="55"/>
      <c r="EU73" s="55"/>
      <c r="EV73" s="55"/>
      <c r="EW73" s="55"/>
      <c r="EX73" s="55"/>
      <c r="EY73" s="55"/>
      <c r="EZ73" s="55"/>
      <c r="FA73" s="55"/>
      <c r="FB73" s="55"/>
      <c r="FC73" s="55"/>
      <c r="FD73" s="55"/>
      <c r="FE73" s="130"/>
    </row>
    <row r="74" spans="1:161" ht="17.25" customHeight="1" x14ac:dyDescent="0.2">
      <c r="A74" s="124"/>
      <c r="B74" s="124"/>
      <c r="C74" s="124"/>
      <c r="D74" s="124"/>
      <c r="E74" s="124"/>
      <c r="F74" s="124"/>
      <c r="G74" s="124"/>
      <c r="H74" s="124"/>
      <c r="I74" s="124"/>
      <c r="J74" s="124"/>
      <c r="K74" s="124"/>
      <c r="L74" s="124"/>
      <c r="M74" s="124"/>
      <c r="N74" s="124"/>
      <c r="O74" s="124"/>
      <c r="P74" s="124"/>
      <c r="BJ74" s="55"/>
      <c r="BK74" s="55"/>
      <c r="BL74" s="130"/>
      <c r="BM74" s="55"/>
      <c r="BN74" s="55"/>
      <c r="BO74" s="55"/>
      <c r="BP74" s="55"/>
      <c r="BQ74" s="55"/>
      <c r="BR74" s="55"/>
      <c r="BS74" s="55"/>
      <c r="BT74" s="55"/>
      <c r="BU74" s="55"/>
      <c r="BV74" s="55"/>
      <c r="BW74" s="55"/>
      <c r="BX74" s="130"/>
      <c r="BY74" s="55"/>
      <c r="BZ74" s="55"/>
      <c r="CA74" s="54" t="s">
        <v>64</v>
      </c>
      <c r="CB74" s="271" t="s">
        <v>99</v>
      </c>
      <c r="CC74" s="271"/>
      <c r="CD74" s="271"/>
      <c r="CE74" s="271"/>
      <c r="CF74" s="271"/>
      <c r="CG74" s="271"/>
      <c r="CH74" s="55"/>
      <c r="CI74" s="167"/>
      <c r="CJ74" s="279" t="s">
        <v>187</v>
      </c>
      <c r="CK74" s="279"/>
      <c r="CL74" s="279"/>
      <c r="CM74" s="279"/>
      <c r="CN74" s="279"/>
      <c r="CO74" s="279"/>
      <c r="CP74" s="55"/>
      <c r="CQ74" s="4"/>
      <c r="CR74" s="271"/>
      <c r="CS74" s="271"/>
      <c r="CT74" s="271"/>
      <c r="CU74" s="271"/>
      <c r="CV74" s="271"/>
      <c r="CW74" s="271"/>
      <c r="CX74" s="55"/>
      <c r="CY74" s="55"/>
      <c r="CZ74" s="55"/>
      <c r="DA74" s="55"/>
      <c r="DB74" s="55"/>
      <c r="DC74" s="55"/>
      <c r="DD74" s="55"/>
      <c r="DE74" s="55"/>
      <c r="DF74" s="55"/>
      <c r="DG74" s="55"/>
      <c r="DH74" s="55"/>
      <c r="DI74" s="55"/>
      <c r="DJ74" s="130"/>
      <c r="DK74" s="55"/>
      <c r="DL74" s="55"/>
      <c r="DM74" s="55"/>
      <c r="DN74" s="55"/>
      <c r="DO74" s="130"/>
      <c r="DP74" s="55"/>
      <c r="DQ74" s="55"/>
      <c r="DR74" s="55"/>
      <c r="DS74" s="55"/>
      <c r="DT74" s="55"/>
      <c r="DU74" s="55"/>
      <c r="DV74" s="55"/>
      <c r="DW74" s="55"/>
      <c r="DX74" s="55"/>
      <c r="DY74" s="55"/>
      <c r="DZ74" s="55"/>
      <c r="EA74" s="130"/>
      <c r="EB74" s="55"/>
      <c r="EC74" s="55"/>
      <c r="ED74" s="4"/>
      <c r="EE74" s="96"/>
      <c r="EF74" s="96"/>
      <c r="EG74" s="96"/>
      <c r="EH74" s="96"/>
      <c r="EI74" s="96"/>
      <c r="EJ74" s="96"/>
      <c r="EK74" s="55"/>
      <c r="EL74" s="4"/>
      <c r="EM74" s="4"/>
      <c r="EN74" s="4"/>
      <c r="EO74" s="4"/>
      <c r="EP74" s="4"/>
      <c r="EQ74" s="4"/>
      <c r="ER74" s="4"/>
      <c r="ES74" s="55"/>
      <c r="ET74" s="55"/>
      <c r="EU74" s="55"/>
      <c r="EV74" s="55"/>
      <c r="EW74" s="55"/>
      <c r="EX74" s="55"/>
      <c r="EY74" s="55"/>
      <c r="EZ74" s="55"/>
      <c r="FA74" s="55"/>
      <c r="FB74" s="55"/>
      <c r="FC74" s="55"/>
      <c r="FD74" s="55"/>
      <c r="FE74" s="130"/>
    </row>
    <row r="75" spans="1:161" ht="17.25" customHeight="1" x14ac:dyDescent="0.2">
      <c r="A75" s="124"/>
      <c r="B75" s="124"/>
      <c r="C75" s="124"/>
      <c r="D75" s="124"/>
      <c r="E75" s="124"/>
      <c r="F75" s="124"/>
      <c r="G75" s="124"/>
      <c r="H75" s="124"/>
      <c r="I75" s="124"/>
      <c r="J75" s="124"/>
      <c r="K75" s="124"/>
      <c r="L75" s="124"/>
      <c r="M75" s="124"/>
      <c r="N75" s="124"/>
      <c r="O75" s="124"/>
      <c r="P75" s="124"/>
      <c r="BJ75" s="55"/>
      <c r="BK75" s="55"/>
      <c r="BL75" s="130"/>
      <c r="BM75" s="55"/>
      <c r="BN75" s="55"/>
      <c r="BO75" s="55"/>
      <c r="BP75" s="55"/>
      <c r="BQ75" s="55"/>
      <c r="BR75" s="55"/>
      <c r="BS75" s="55"/>
      <c r="BT75" s="55"/>
      <c r="BU75" s="55"/>
      <c r="BV75" s="55"/>
      <c r="BW75" s="55"/>
      <c r="BX75" s="130"/>
      <c r="BY75" s="55"/>
      <c r="BZ75" s="55"/>
      <c r="CA75" s="4"/>
      <c r="CB75" s="271"/>
      <c r="CC75" s="271"/>
      <c r="CD75" s="271"/>
      <c r="CE75" s="271"/>
      <c r="CF75" s="271"/>
      <c r="CG75" s="271"/>
      <c r="CH75" s="55"/>
      <c r="CI75" s="167"/>
      <c r="CJ75" s="279"/>
      <c r="CK75" s="279"/>
      <c r="CL75" s="279"/>
      <c r="CM75" s="279"/>
      <c r="CN75" s="279"/>
      <c r="CO75" s="279"/>
      <c r="CP75" s="55"/>
      <c r="CQ75" s="54" t="s">
        <v>65</v>
      </c>
      <c r="CR75" s="271" t="s">
        <v>96</v>
      </c>
      <c r="CS75" s="271"/>
      <c r="CT75" s="271"/>
      <c r="CU75" s="271"/>
      <c r="CV75" s="271"/>
      <c r="CW75" s="271"/>
      <c r="CX75" s="55"/>
      <c r="CY75" s="55"/>
      <c r="CZ75" s="55"/>
      <c r="DA75" s="55"/>
      <c r="DB75" s="55"/>
      <c r="DC75" s="55"/>
      <c r="DD75" s="55"/>
      <c r="DE75" s="55"/>
      <c r="DF75" s="55"/>
      <c r="DG75" s="55"/>
      <c r="DH75" s="55"/>
      <c r="DI75" s="55"/>
      <c r="DJ75" s="130"/>
      <c r="DK75" s="55"/>
      <c r="DL75" s="55"/>
      <c r="DM75" s="55"/>
      <c r="DN75" s="55"/>
      <c r="DO75" s="130"/>
      <c r="DP75" s="55"/>
      <c r="DQ75" s="55"/>
      <c r="DR75" s="55"/>
      <c r="DS75" s="55"/>
      <c r="DT75" s="55"/>
      <c r="DU75" s="55"/>
      <c r="DV75" s="55"/>
      <c r="DW75" s="55"/>
      <c r="DX75" s="55"/>
      <c r="DY75" s="55"/>
      <c r="DZ75" s="55"/>
      <c r="EA75" s="130"/>
      <c r="EB75" s="55"/>
      <c r="EC75" s="55"/>
      <c r="ED75" s="54" t="s">
        <v>64</v>
      </c>
      <c r="EE75" s="281" t="s">
        <v>90</v>
      </c>
      <c r="EF75" s="281"/>
      <c r="EG75" s="281"/>
      <c r="EH75" s="281"/>
      <c r="EI75" s="281"/>
      <c r="EJ75" s="281"/>
      <c r="EK75" s="55"/>
      <c r="EL75" s="54" t="s">
        <v>64</v>
      </c>
      <c r="EM75" s="281" t="s">
        <v>90</v>
      </c>
      <c r="EN75" s="281"/>
      <c r="EO75" s="281"/>
      <c r="EP75" s="281"/>
      <c r="EQ75" s="281"/>
      <c r="ER75" s="281"/>
      <c r="ES75" s="55"/>
      <c r="ET75" s="55"/>
      <c r="EU75" s="55"/>
      <c r="EV75" s="55"/>
      <c r="EW75" s="55"/>
      <c r="EX75" s="55"/>
      <c r="EY75" s="55"/>
      <c r="EZ75" s="55"/>
      <c r="FA75" s="55"/>
      <c r="FB75" s="55"/>
      <c r="FC75" s="55"/>
      <c r="FD75" s="55"/>
      <c r="FE75" s="130"/>
    </row>
    <row r="76" spans="1:161" ht="17.25" customHeight="1" x14ac:dyDescent="0.2">
      <c r="A76" s="124"/>
      <c r="B76" s="124"/>
      <c r="C76" s="124"/>
      <c r="D76" s="124"/>
      <c r="E76" s="124"/>
      <c r="F76" s="124"/>
      <c r="G76" s="124"/>
      <c r="H76" s="124"/>
      <c r="I76" s="124"/>
      <c r="J76" s="124"/>
      <c r="K76" s="124"/>
      <c r="L76" s="124"/>
      <c r="M76" s="124"/>
      <c r="N76" s="124"/>
      <c r="O76" s="124"/>
      <c r="P76" s="124"/>
      <c r="BJ76" s="55"/>
      <c r="BK76" s="55"/>
      <c r="BL76" s="130"/>
      <c r="BM76" s="55"/>
      <c r="BN76" s="55"/>
      <c r="BO76" s="55"/>
      <c r="BP76" s="55"/>
      <c r="BQ76" s="55"/>
      <c r="BR76" s="55"/>
      <c r="BS76" s="55"/>
      <c r="BT76" s="55"/>
      <c r="BU76" s="55"/>
      <c r="BV76" s="55"/>
      <c r="BW76" s="55"/>
      <c r="BX76" s="130"/>
      <c r="BY76" s="55"/>
      <c r="BZ76" s="55"/>
      <c r="CA76" s="54" t="s">
        <v>65</v>
      </c>
      <c r="CB76" s="271" t="s">
        <v>96</v>
      </c>
      <c r="CC76" s="271"/>
      <c r="CD76" s="271"/>
      <c r="CE76" s="271"/>
      <c r="CF76" s="271"/>
      <c r="CG76" s="271"/>
      <c r="CH76" s="55"/>
      <c r="CI76" s="167"/>
      <c r="CJ76" s="279"/>
      <c r="CK76" s="279"/>
      <c r="CL76" s="279"/>
      <c r="CM76" s="279"/>
      <c r="CN76" s="279"/>
      <c r="CO76" s="279"/>
      <c r="CP76" s="55"/>
      <c r="CQ76" s="4"/>
      <c r="CR76" s="271"/>
      <c r="CS76" s="271"/>
      <c r="CT76" s="271"/>
      <c r="CU76" s="271"/>
      <c r="CV76" s="271"/>
      <c r="CW76" s="271"/>
      <c r="CX76" s="55"/>
      <c r="CY76" s="55"/>
      <c r="CZ76" s="55"/>
      <c r="DA76" s="55"/>
      <c r="DB76" s="55"/>
      <c r="DC76" s="55"/>
      <c r="DD76" s="55"/>
      <c r="DE76" s="55"/>
      <c r="DF76" s="55"/>
      <c r="DG76" s="55"/>
      <c r="DH76" s="55"/>
      <c r="DI76" s="55"/>
      <c r="DJ76" s="130"/>
      <c r="DK76" s="55"/>
      <c r="DL76" s="55"/>
      <c r="DM76" s="55"/>
      <c r="DN76" s="55"/>
      <c r="DO76" s="130"/>
      <c r="DP76" s="55"/>
      <c r="DQ76" s="55"/>
      <c r="DR76" s="55"/>
      <c r="DS76" s="55"/>
      <c r="DT76" s="55"/>
      <c r="DU76" s="55"/>
      <c r="DV76" s="55"/>
      <c r="DW76" s="55"/>
      <c r="DX76" s="55"/>
      <c r="DY76" s="55"/>
      <c r="DZ76" s="55"/>
      <c r="EA76" s="130"/>
      <c r="EB76" s="55"/>
      <c r="EC76" s="55"/>
      <c r="ED76" s="54"/>
      <c r="EE76" s="281"/>
      <c r="EF76" s="281"/>
      <c r="EG76" s="281"/>
      <c r="EH76" s="281"/>
      <c r="EI76" s="281"/>
      <c r="EJ76" s="281"/>
      <c r="EK76" s="55"/>
      <c r="EL76" s="54"/>
      <c r="EM76" s="281"/>
      <c r="EN76" s="281"/>
      <c r="EO76" s="281"/>
      <c r="EP76" s="281"/>
      <c r="EQ76" s="281"/>
      <c r="ER76" s="281"/>
      <c r="ES76" s="55"/>
      <c r="ET76" s="55"/>
      <c r="EU76" s="55"/>
      <c r="EV76" s="55"/>
      <c r="EW76" s="55"/>
      <c r="EX76" s="55"/>
      <c r="EY76" s="55"/>
      <c r="EZ76" s="55"/>
      <c r="FA76" s="55"/>
      <c r="FB76" s="55"/>
      <c r="FC76" s="55"/>
      <c r="FD76" s="55"/>
      <c r="FE76" s="130"/>
    </row>
    <row r="77" spans="1:161" ht="17.25" customHeight="1" x14ac:dyDescent="0.2">
      <c r="A77" s="124"/>
      <c r="B77" s="124"/>
      <c r="C77" s="124"/>
      <c r="D77" s="124"/>
      <c r="E77" s="124"/>
      <c r="F77" s="124"/>
      <c r="G77" s="124"/>
      <c r="H77" s="124"/>
      <c r="I77" s="124"/>
      <c r="J77" s="124"/>
      <c r="K77" s="124"/>
      <c r="L77" s="124"/>
      <c r="M77" s="124"/>
      <c r="N77" s="124"/>
      <c r="O77" s="124"/>
      <c r="P77" s="124"/>
      <c r="BJ77" s="55"/>
      <c r="BK77" s="55"/>
      <c r="BL77" s="130"/>
      <c r="BM77" s="55"/>
      <c r="BN77" s="55"/>
      <c r="BO77" s="55"/>
      <c r="BP77" s="55"/>
      <c r="BQ77" s="55"/>
      <c r="BR77" s="55"/>
      <c r="BS77" s="55"/>
      <c r="BT77" s="55"/>
      <c r="BU77" s="55"/>
      <c r="BV77" s="55"/>
      <c r="BW77" s="55"/>
      <c r="BX77" s="130"/>
      <c r="BY77" s="55"/>
      <c r="BZ77" s="55"/>
      <c r="CA77" s="4"/>
      <c r="CB77" s="271"/>
      <c r="CC77" s="271"/>
      <c r="CD77" s="271"/>
      <c r="CE77" s="271"/>
      <c r="CF77" s="271"/>
      <c r="CG77" s="271"/>
      <c r="CH77" s="55"/>
      <c r="CI77" s="167" t="s">
        <v>188</v>
      </c>
      <c r="CJ77" s="280" t="s">
        <v>99</v>
      </c>
      <c r="CK77" s="280"/>
      <c r="CL77" s="280"/>
      <c r="CM77" s="280"/>
      <c r="CN77" s="280"/>
      <c r="CO77" s="280"/>
      <c r="CP77" s="55"/>
      <c r="CQ77" s="4"/>
      <c r="CR77" s="273" t="s">
        <v>102</v>
      </c>
      <c r="CS77" s="273"/>
      <c r="CT77" s="273"/>
      <c r="CU77" s="273"/>
      <c r="CV77" s="273"/>
      <c r="CW77" s="273"/>
      <c r="CX77" s="55"/>
      <c r="CY77" s="55"/>
      <c r="CZ77" s="55"/>
      <c r="DA77" s="55"/>
      <c r="DB77" s="55"/>
      <c r="DC77" s="55"/>
      <c r="DD77" s="55"/>
      <c r="DE77" s="55"/>
      <c r="DF77" s="55"/>
      <c r="DG77" s="55"/>
      <c r="DH77" s="55"/>
      <c r="DI77" s="55"/>
      <c r="DJ77" s="130"/>
      <c r="DK77" s="55"/>
      <c r="DL77" s="55"/>
      <c r="DM77" s="55"/>
      <c r="DN77" s="55"/>
      <c r="DO77" s="130"/>
      <c r="DP77" s="55"/>
      <c r="DQ77" s="55"/>
      <c r="DR77" s="55"/>
      <c r="DS77" s="55"/>
      <c r="DT77" s="55"/>
      <c r="DU77" s="55"/>
      <c r="DV77" s="55"/>
      <c r="DW77" s="55"/>
      <c r="DX77" s="55"/>
      <c r="DY77" s="55"/>
      <c r="DZ77" s="55"/>
      <c r="EA77" s="130"/>
      <c r="EB77" s="55"/>
      <c r="EC77" s="55"/>
      <c r="ED77" s="4"/>
      <c r="EE77" s="281"/>
      <c r="EF77" s="281"/>
      <c r="EG77" s="281"/>
      <c r="EH77" s="281"/>
      <c r="EI77" s="281"/>
      <c r="EJ77" s="281"/>
      <c r="EK77" s="55"/>
      <c r="EL77" s="4"/>
      <c r="EM77" s="281"/>
      <c r="EN77" s="281"/>
      <c r="EO77" s="281"/>
      <c r="EP77" s="281"/>
      <c r="EQ77" s="281"/>
      <c r="ER77" s="281"/>
      <c r="ES77" s="55"/>
      <c r="ET77" s="55"/>
      <c r="EU77" s="55"/>
      <c r="EV77" s="55"/>
      <c r="EW77" s="55"/>
      <c r="EX77" s="55"/>
      <c r="EY77" s="55"/>
      <c r="EZ77" s="55"/>
      <c r="FA77" s="55"/>
      <c r="FB77" s="55"/>
      <c r="FC77" s="55"/>
      <c r="FD77" s="55"/>
      <c r="FE77" s="130"/>
    </row>
    <row r="78" spans="1:161" ht="17.25" customHeight="1" x14ac:dyDescent="0.2">
      <c r="A78" s="124"/>
      <c r="B78" s="124"/>
      <c r="C78" s="124"/>
      <c r="D78" s="124"/>
      <c r="E78" s="124"/>
      <c r="F78" s="124"/>
      <c r="G78" s="124"/>
      <c r="H78" s="124"/>
      <c r="I78" s="124"/>
      <c r="J78" s="124"/>
      <c r="K78" s="124"/>
      <c r="L78" s="124"/>
      <c r="M78" s="124"/>
      <c r="N78" s="124"/>
      <c r="O78" s="124"/>
      <c r="P78" s="124"/>
      <c r="BJ78" s="55"/>
      <c r="BK78" s="55"/>
      <c r="BL78" s="130"/>
      <c r="BM78" s="55"/>
      <c r="BN78" s="55"/>
      <c r="BO78" s="55"/>
      <c r="BP78" s="55"/>
      <c r="BQ78" s="55"/>
      <c r="BR78" s="55"/>
      <c r="BS78" s="55"/>
      <c r="BT78" s="55"/>
      <c r="BU78" s="55"/>
      <c r="BV78" s="55"/>
      <c r="BW78" s="55"/>
      <c r="BX78" s="130"/>
      <c r="BY78" s="55"/>
      <c r="BZ78" s="55"/>
      <c r="CA78" s="4"/>
      <c r="CB78" s="273" t="s">
        <v>102</v>
      </c>
      <c r="CC78" s="273"/>
      <c r="CD78" s="273"/>
      <c r="CE78" s="273"/>
      <c r="CF78" s="273"/>
      <c r="CG78" s="273"/>
      <c r="CH78" s="55"/>
      <c r="CI78" s="167"/>
      <c r="CJ78" s="280"/>
      <c r="CK78" s="280"/>
      <c r="CL78" s="280"/>
      <c r="CM78" s="280"/>
      <c r="CN78" s="280"/>
      <c r="CO78" s="280"/>
      <c r="CP78" s="55"/>
      <c r="CQ78" s="4"/>
      <c r="CR78" s="273"/>
      <c r="CS78" s="273"/>
      <c r="CT78" s="273"/>
      <c r="CU78" s="273"/>
      <c r="CV78" s="273"/>
      <c r="CW78" s="273"/>
      <c r="CX78" s="55"/>
      <c r="CY78" s="55"/>
      <c r="CZ78" s="55"/>
      <c r="DA78" s="55"/>
      <c r="DB78" s="55"/>
      <c r="DC78" s="55"/>
      <c r="DD78" s="55"/>
      <c r="DE78" s="55"/>
      <c r="DF78" s="55"/>
      <c r="DG78" s="55"/>
      <c r="DH78" s="55"/>
      <c r="DI78" s="55"/>
      <c r="DJ78" s="130"/>
      <c r="DK78" s="55"/>
      <c r="DL78" s="55"/>
      <c r="DM78" s="55"/>
      <c r="DN78" s="55"/>
      <c r="DO78" s="130"/>
      <c r="DP78" s="55"/>
      <c r="DQ78" s="55"/>
      <c r="DR78" s="55"/>
      <c r="DS78" s="55"/>
      <c r="DT78" s="55"/>
      <c r="DU78" s="55"/>
      <c r="DV78" s="55"/>
      <c r="DW78" s="55"/>
      <c r="DX78" s="55"/>
      <c r="DY78" s="55"/>
      <c r="DZ78" s="55"/>
      <c r="EA78" s="130"/>
      <c r="EB78" s="55"/>
      <c r="EC78" s="55"/>
      <c r="ED78" s="4"/>
      <c r="EE78" s="281"/>
      <c r="EF78" s="281"/>
      <c r="EG78" s="281"/>
      <c r="EH78" s="281"/>
      <c r="EI78" s="281"/>
      <c r="EJ78" s="281"/>
      <c r="EK78" s="55"/>
      <c r="EL78" s="4"/>
      <c r="EM78" s="281"/>
      <c r="EN78" s="281"/>
      <c r="EO78" s="281"/>
      <c r="EP78" s="281"/>
      <c r="EQ78" s="281"/>
      <c r="ER78" s="281"/>
      <c r="ES78" s="55"/>
      <c r="ET78" s="55"/>
      <c r="EU78" s="55"/>
      <c r="EV78" s="55"/>
      <c r="EW78" s="55"/>
      <c r="EX78" s="55"/>
      <c r="EY78" s="55"/>
      <c r="EZ78" s="55"/>
      <c r="FA78" s="55"/>
      <c r="FB78" s="55"/>
      <c r="FC78" s="55"/>
      <c r="FD78" s="55"/>
      <c r="FE78" s="130"/>
    </row>
    <row r="79" spans="1:161" ht="17.25" customHeight="1" x14ac:dyDescent="0.2">
      <c r="A79" s="124"/>
      <c r="B79" s="124"/>
      <c r="C79" s="124"/>
      <c r="D79" s="124"/>
      <c r="E79" s="124"/>
      <c r="F79" s="124"/>
      <c r="G79" s="124"/>
      <c r="H79" s="124"/>
      <c r="I79" s="124"/>
      <c r="J79" s="124"/>
      <c r="K79" s="124"/>
      <c r="L79" s="124"/>
      <c r="M79" s="124"/>
      <c r="N79" s="124"/>
      <c r="O79" s="124"/>
      <c r="P79" s="124"/>
      <c r="BJ79" s="55"/>
      <c r="BK79" s="55"/>
      <c r="BL79" s="130"/>
      <c r="BM79" s="55"/>
      <c r="BN79" s="55"/>
      <c r="BO79" s="55"/>
      <c r="BP79" s="55"/>
      <c r="BQ79" s="55"/>
      <c r="BR79" s="55"/>
      <c r="BS79" s="55"/>
      <c r="BT79" s="55"/>
      <c r="BU79" s="55"/>
      <c r="BV79" s="55"/>
      <c r="BW79" s="55"/>
      <c r="BX79" s="130"/>
      <c r="BY79" s="55"/>
      <c r="BZ79" s="55"/>
      <c r="CA79" s="4"/>
      <c r="CB79" s="273"/>
      <c r="CC79" s="273"/>
      <c r="CD79" s="273"/>
      <c r="CE79" s="273"/>
      <c r="CF79" s="273"/>
      <c r="CG79" s="273"/>
      <c r="CH79" s="55"/>
      <c r="CI79" s="54"/>
      <c r="CJ79" s="280"/>
      <c r="CK79" s="280"/>
      <c r="CL79" s="280"/>
      <c r="CM79" s="280"/>
      <c r="CN79" s="280"/>
      <c r="CO79" s="280"/>
      <c r="CP79" s="55"/>
      <c r="CQ79" s="4"/>
      <c r="CR79" s="273"/>
      <c r="CS79" s="273"/>
      <c r="CT79" s="273"/>
      <c r="CU79" s="273"/>
      <c r="CV79" s="273"/>
      <c r="CW79" s="273"/>
      <c r="CX79" s="55"/>
      <c r="CY79" s="55"/>
      <c r="CZ79" s="55"/>
      <c r="DA79" s="55"/>
      <c r="DB79" s="55"/>
      <c r="DC79" s="55"/>
      <c r="DD79" s="55"/>
      <c r="DE79" s="55"/>
      <c r="DF79" s="55"/>
      <c r="DG79" s="55"/>
      <c r="DH79" s="55"/>
      <c r="DI79" s="55"/>
      <c r="DJ79" s="130"/>
      <c r="DK79" s="55"/>
      <c r="DL79" s="55"/>
      <c r="DM79" s="55"/>
      <c r="DN79" s="55"/>
      <c r="DO79" s="130"/>
      <c r="DP79" s="55"/>
      <c r="DQ79" s="55"/>
      <c r="DR79" s="55"/>
      <c r="DS79" s="55"/>
      <c r="DT79" s="55"/>
      <c r="DU79" s="55"/>
      <c r="DV79" s="55"/>
      <c r="DW79" s="55"/>
      <c r="DX79" s="55"/>
      <c r="DY79" s="55"/>
      <c r="DZ79" s="55"/>
      <c r="EA79" s="130"/>
      <c r="EB79" s="55"/>
      <c r="EC79" s="55"/>
      <c r="ED79" s="4"/>
      <c r="EE79" s="281"/>
      <c r="EF79" s="281"/>
      <c r="EG79" s="281"/>
      <c r="EH79" s="281"/>
      <c r="EI79" s="281"/>
      <c r="EJ79" s="281"/>
      <c r="EK79" s="55"/>
      <c r="EL79" s="4"/>
      <c r="EM79" s="281"/>
      <c r="EN79" s="281"/>
      <c r="EO79" s="281"/>
      <c r="EP79" s="281"/>
      <c r="EQ79" s="281"/>
      <c r="ER79" s="281"/>
      <c r="ES79" s="55"/>
      <c r="ET79" s="55"/>
      <c r="EU79" s="55"/>
      <c r="EV79" s="55"/>
      <c r="EW79" s="55"/>
      <c r="EX79" s="55"/>
      <c r="EY79" s="55"/>
      <c r="EZ79" s="55"/>
      <c r="FA79" s="55"/>
      <c r="FB79" s="55"/>
      <c r="FC79" s="55"/>
      <c r="FD79" s="55"/>
      <c r="FE79" s="130"/>
    </row>
    <row r="80" spans="1:161" ht="17.25" customHeight="1" x14ac:dyDescent="0.2">
      <c r="A80" s="124"/>
      <c r="B80" s="124"/>
      <c r="C80" s="124"/>
      <c r="D80" s="124"/>
      <c r="E80" s="124"/>
      <c r="F80" s="124"/>
      <c r="G80" s="124"/>
      <c r="H80" s="124"/>
      <c r="I80" s="124"/>
      <c r="J80" s="124"/>
      <c r="K80" s="124"/>
      <c r="L80" s="124"/>
      <c r="M80" s="124"/>
      <c r="N80" s="124"/>
      <c r="O80" s="124"/>
      <c r="P80" s="124"/>
      <c r="BJ80" s="55"/>
      <c r="BK80" s="55"/>
      <c r="BL80" s="130"/>
      <c r="BM80" s="55"/>
      <c r="BN80" s="55"/>
      <c r="BO80" s="55"/>
      <c r="BP80" s="55"/>
      <c r="BQ80" s="55"/>
      <c r="BR80" s="55"/>
      <c r="BS80" s="55"/>
      <c r="BT80" s="55"/>
      <c r="BU80" s="55"/>
      <c r="BV80" s="55"/>
      <c r="BW80" s="55"/>
      <c r="BX80" s="130"/>
      <c r="BY80" s="55"/>
      <c r="BZ80" s="55"/>
      <c r="CA80" s="4"/>
      <c r="CB80" s="273"/>
      <c r="CC80" s="273"/>
      <c r="CD80" s="273"/>
      <c r="CE80" s="273"/>
      <c r="CF80" s="273"/>
      <c r="CG80" s="273"/>
      <c r="CH80" s="55"/>
      <c r="CI80" s="4"/>
      <c r="CJ80" s="57"/>
      <c r="CK80" s="57"/>
      <c r="CL80" s="57"/>
      <c r="CM80" s="57"/>
      <c r="CN80" s="57"/>
      <c r="CO80" s="57"/>
      <c r="CP80" s="55"/>
      <c r="CQ80" s="54" t="s">
        <v>66</v>
      </c>
      <c r="CR80" s="271" t="s">
        <v>107</v>
      </c>
      <c r="CS80" s="271"/>
      <c r="CT80" s="271"/>
      <c r="CU80" s="271"/>
      <c r="CV80" s="271"/>
      <c r="CW80" s="271"/>
      <c r="CX80" s="55"/>
      <c r="CY80" s="55"/>
      <c r="CZ80" s="55"/>
      <c r="DA80" s="55"/>
      <c r="DB80" s="55"/>
      <c r="DC80" s="55"/>
      <c r="DD80" s="55"/>
      <c r="DE80" s="55"/>
      <c r="DF80" s="55"/>
      <c r="DG80" s="55"/>
      <c r="DH80" s="55"/>
      <c r="DI80" s="55"/>
      <c r="DJ80" s="130"/>
      <c r="DK80" s="55"/>
      <c r="DL80" s="55"/>
      <c r="DM80" s="55"/>
      <c r="DN80" s="55"/>
      <c r="DO80" s="130"/>
      <c r="DP80" s="55"/>
      <c r="DQ80" s="55"/>
      <c r="DR80" s="55"/>
      <c r="DS80" s="55"/>
      <c r="DT80" s="55"/>
      <c r="DU80" s="55"/>
      <c r="DV80" s="55"/>
      <c r="DW80" s="55"/>
      <c r="DX80" s="55"/>
      <c r="DY80" s="55"/>
      <c r="DZ80" s="55"/>
      <c r="EA80" s="130"/>
      <c r="EB80" s="55"/>
      <c r="EC80" s="55"/>
      <c r="ED80" s="54" t="s">
        <v>65</v>
      </c>
      <c r="EE80" s="271" t="s">
        <v>91</v>
      </c>
      <c r="EF80" s="271"/>
      <c r="EG80" s="271"/>
      <c r="EH80" s="271"/>
      <c r="EI80" s="271"/>
      <c r="EJ80" s="271"/>
      <c r="EK80" s="55"/>
      <c r="EL80" s="54" t="s">
        <v>65</v>
      </c>
      <c r="EM80" s="271" t="s">
        <v>91</v>
      </c>
      <c r="EN80" s="271"/>
      <c r="EO80" s="271"/>
      <c r="EP80" s="271"/>
      <c r="EQ80" s="271"/>
      <c r="ER80" s="271"/>
      <c r="ES80" s="55"/>
      <c r="ET80" s="55"/>
      <c r="EU80" s="55"/>
      <c r="EV80" s="55"/>
      <c r="EW80" s="55"/>
      <c r="EX80" s="55"/>
      <c r="EY80" s="55"/>
      <c r="EZ80" s="55"/>
      <c r="FA80" s="55"/>
      <c r="FB80" s="55"/>
      <c r="FC80" s="55"/>
      <c r="FD80" s="55"/>
      <c r="FE80" s="130"/>
    </row>
    <row r="81" spans="1:161" ht="17.25" customHeight="1" x14ac:dyDescent="0.2">
      <c r="A81" s="124"/>
      <c r="B81" s="124"/>
      <c r="C81" s="124"/>
      <c r="D81" s="124"/>
      <c r="E81" s="124"/>
      <c r="F81" s="124"/>
      <c r="G81" s="124"/>
      <c r="H81" s="124"/>
      <c r="I81" s="124"/>
      <c r="J81" s="124"/>
      <c r="K81" s="124"/>
      <c r="L81" s="124"/>
      <c r="M81" s="124"/>
      <c r="N81" s="124"/>
      <c r="O81" s="124"/>
      <c r="P81" s="124"/>
      <c r="BJ81" s="55"/>
      <c r="BK81" s="55"/>
      <c r="BL81" s="130"/>
      <c r="BM81" s="55"/>
      <c r="BN81" s="55"/>
      <c r="BO81" s="55"/>
      <c r="BP81" s="55"/>
      <c r="BQ81" s="55"/>
      <c r="BR81" s="55"/>
      <c r="BS81" s="55"/>
      <c r="BT81" s="55"/>
      <c r="BU81" s="55"/>
      <c r="BV81" s="55"/>
      <c r="BW81" s="55"/>
      <c r="BX81" s="130"/>
      <c r="BY81" s="55"/>
      <c r="BZ81" s="55"/>
      <c r="CA81" s="4"/>
      <c r="CB81" s="144"/>
      <c r="CC81" s="144"/>
      <c r="CD81" s="144"/>
      <c r="CE81" s="144"/>
      <c r="CF81" s="144"/>
      <c r="CG81" s="144"/>
      <c r="CH81" s="55"/>
      <c r="CI81" s="4"/>
      <c r="CJ81" s="4"/>
      <c r="CK81" s="4"/>
      <c r="CL81" s="4"/>
      <c r="CM81" s="4"/>
      <c r="CN81" s="4"/>
      <c r="CO81" s="4"/>
      <c r="CP81" s="55"/>
      <c r="CQ81" s="4"/>
      <c r="CR81" s="271"/>
      <c r="CS81" s="271"/>
      <c r="CT81" s="271"/>
      <c r="CU81" s="271"/>
      <c r="CV81" s="271"/>
      <c r="CW81" s="271"/>
      <c r="CX81" s="55"/>
      <c r="CY81" s="55"/>
      <c r="CZ81" s="55"/>
      <c r="DA81" s="55"/>
      <c r="DB81" s="55"/>
      <c r="DC81" s="55"/>
      <c r="DD81" s="55"/>
      <c r="DE81" s="55"/>
      <c r="DF81" s="55"/>
      <c r="DG81" s="55"/>
      <c r="DH81" s="55"/>
      <c r="DI81" s="55"/>
      <c r="DJ81" s="130"/>
      <c r="DK81" s="55"/>
      <c r="DL81" s="55"/>
      <c r="DM81" s="55"/>
      <c r="DN81" s="55"/>
      <c r="DO81" s="130"/>
      <c r="DP81" s="55"/>
      <c r="DQ81" s="55"/>
      <c r="DR81" s="55"/>
      <c r="DS81" s="55"/>
      <c r="DT81" s="55"/>
      <c r="DU81" s="55"/>
      <c r="DV81" s="55"/>
      <c r="DW81" s="55"/>
      <c r="DX81" s="55"/>
      <c r="DY81" s="55"/>
      <c r="DZ81" s="55"/>
      <c r="EA81" s="130"/>
      <c r="EB81" s="55"/>
      <c r="EC81" s="55"/>
      <c r="ED81" s="4"/>
      <c r="EE81" s="271"/>
      <c r="EF81" s="271"/>
      <c r="EG81" s="271"/>
      <c r="EH81" s="271"/>
      <c r="EI81" s="271"/>
      <c r="EJ81" s="271"/>
      <c r="EK81" s="55"/>
      <c r="EL81" s="4"/>
      <c r="EM81" s="271"/>
      <c r="EN81" s="271"/>
      <c r="EO81" s="271"/>
      <c r="EP81" s="271"/>
      <c r="EQ81" s="271"/>
      <c r="ER81" s="271"/>
      <c r="ES81" s="55"/>
      <c r="ET81" s="55"/>
      <c r="EU81" s="55"/>
      <c r="EV81" s="55"/>
      <c r="EW81" s="55"/>
      <c r="EX81" s="55"/>
      <c r="EY81" s="55"/>
      <c r="EZ81" s="55"/>
      <c r="FA81" s="55"/>
      <c r="FB81" s="55"/>
      <c r="FC81" s="55"/>
      <c r="FD81" s="55"/>
      <c r="FE81" s="130"/>
    </row>
    <row r="82" spans="1:161" ht="17.25" customHeight="1" x14ac:dyDescent="0.2">
      <c r="A82" s="124"/>
      <c r="B82" s="124"/>
      <c r="C82" s="124"/>
      <c r="D82" s="124"/>
      <c r="E82" s="124"/>
      <c r="F82" s="124"/>
      <c r="G82" s="124"/>
      <c r="H82" s="124"/>
      <c r="I82" s="124"/>
      <c r="J82" s="124"/>
      <c r="K82" s="124"/>
      <c r="L82" s="124"/>
      <c r="M82" s="124"/>
      <c r="N82" s="124"/>
      <c r="O82" s="124"/>
      <c r="P82" s="124"/>
      <c r="BJ82" s="55"/>
      <c r="BK82" s="55"/>
      <c r="BL82" s="130"/>
      <c r="BM82" s="55"/>
      <c r="BN82" s="55"/>
      <c r="BO82" s="55"/>
      <c r="BP82" s="55"/>
      <c r="BQ82" s="55"/>
      <c r="BR82" s="55"/>
      <c r="BS82" s="55"/>
      <c r="BT82" s="55"/>
      <c r="BU82" s="55"/>
      <c r="BV82" s="55"/>
      <c r="BW82" s="55"/>
      <c r="BX82" s="130"/>
      <c r="BY82" s="55"/>
      <c r="BZ82" s="55"/>
      <c r="CA82" s="4"/>
      <c r="CB82" s="192"/>
      <c r="CC82" s="192"/>
      <c r="CD82" s="192"/>
      <c r="CE82" s="192"/>
      <c r="CF82" s="192"/>
      <c r="CG82" s="192"/>
      <c r="CH82" s="55"/>
      <c r="CI82" s="4"/>
      <c r="CJ82" s="55"/>
      <c r="CK82" s="55"/>
      <c r="CL82" s="55"/>
      <c r="CM82" s="55"/>
      <c r="CN82" s="55"/>
      <c r="CO82" s="55"/>
      <c r="CP82" s="55"/>
      <c r="CQ82" s="54"/>
      <c r="CR82" s="271"/>
      <c r="CS82" s="271"/>
      <c r="CT82" s="271"/>
      <c r="CU82" s="271"/>
      <c r="CV82" s="271"/>
      <c r="CW82" s="271"/>
      <c r="CX82" s="55"/>
      <c r="CY82" s="55"/>
      <c r="CZ82" s="55"/>
      <c r="DA82" s="55"/>
      <c r="DB82" s="55"/>
      <c r="DC82" s="55"/>
      <c r="DD82" s="55"/>
      <c r="DE82" s="55"/>
      <c r="DF82" s="55"/>
      <c r="DG82" s="55"/>
      <c r="DH82" s="55"/>
      <c r="DI82" s="55"/>
      <c r="DJ82" s="130"/>
      <c r="DK82" s="55"/>
      <c r="DL82" s="55"/>
      <c r="DM82" s="55"/>
      <c r="DN82" s="55"/>
      <c r="DO82" s="130"/>
      <c r="DP82" s="55"/>
      <c r="DQ82" s="55"/>
      <c r="DR82" s="55"/>
      <c r="DS82" s="55"/>
      <c r="DT82" s="55"/>
      <c r="DU82" s="55"/>
      <c r="DV82" s="55"/>
      <c r="DW82" s="55"/>
      <c r="DX82" s="55"/>
      <c r="DY82" s="55"/>
      <c r="DZ82" s="55"/>
      <c r="EA82" s="130"/>
      <c r="EB82" s="55"/>
      <c r="EC82" s="55"/>
      <c r="ED82" s="4"/>
      <c r="EE82" s="96"/>
      <c r="EF82" s="96"/>
      <c r="EG82" s="96"/>
      <c r="EH82" s="96"/>
      <c r="EI82" s="96"/>
      <c r="EJ82" s="96"/>
      <c r="EK82" s="55"/>
      <c r="EL82" s="4"/>
      <c r="EM82" s="4"/>
      <c r="EN82" s="4"/>
      <c r="EO82" s="4"/>
      <c r="EP82" s="4"/>
      <c r="EQ82" s="4"/>
      <c r="ER82" s="4"/>
      <c r="ES82" s="55"/>
      <c r="ET82" s="55"/>
      <c r="EU82" s="55"/>
      <c r="EV82" s="55"/>
      <c r="EW82" s="55"/>
      <c r="EX82" s="55"/>
      <c r="EY82" s="55"/>
      <c r="EZ82" s="55"/>
      <c r="FA82" s="55"/>
      <c r="FB82" s="55"/>
      <c r="FC82" s="55"/>
      <c r="FD82" s="55"/>
      <c r="FE82" s="130"/>
    </row>
    <row r="83" spans="1:161" ht="17.25" customHeight="1" x14ac:dyDescent="0.2">
      <c r="A83" s="124"/>
      <c r="B83" s="124"/>
      <c r="C83" s="124"/>
      <c r="D83" s="124"/>
      <c r="E83" s="124"/>
      <c r="F83" s="124"/>
      <c r="G83" s="124"/>
      <c r="H83" s="124"/>
      <c r="I83" s="124"/>
      <c r="J83" s="124"/>
      <c r="K83" s="124"/>
      <c r="L83" s="124"/>
      <c r="M83" s="124"/>
      <c r="N83" s="124"/>
      <c r="O83" s="124"/>
      <c r="P83" s="124"/>
      <c r="BJ83" s="55"/>
      <c r="BK83" s="55"/>
      <c r="BL83" s="130"/>
      <c r="BM83" s="55"/>
      <c r="BN83" s="55"/>
      <c r="BO83" s="55"/>
      <c r="BP83" s="55"/>
      <c r="BQ83" s="55"/>
      <c r="BR83" s="55"/>
      <c r="BS83" s="55"/>
      <c r="BT83" s="55"/>
      <c r="BU83" s="55"/>
      <c r="BV83" s="55"/>
      <c r="BW83" s="55"/>
      <c r="BX83" s="130"/>
      <c r="BY83" s="55"/>
      <c r="BZ83" s="55"/>
      <c r="CA83" s="4"/>
      <c r="CB83" s="192"/>
      <c r="CC83" s="192"/>
      <c r="CD83" s="192"/>
      <c r="CE83" s="192"/>
      <c r="CF83" s="192"/>
      <c r="CG83" s="192"/>
      <c r="CH83" s="55"/>
      <c r="CI83" s="4"/>
      <c r="CJ83" s="55"/>
      <c r="CK83" s="55"/>
      <c r="CL83" s="55"/>
      <c r="CM83" s="55"/>
      <c r="CN83" s="55"/>
      <c r="CO83" s="55"/>
      <c r="CP83" s="55"/>
      <c r="CQ83" s="54"/>
      <c r="CR83" s="277"/>
      <c r="CS83" s="277"/>
      <c r="CT83" s="277"/>
      <c r="CU83" s="277"/>
      <c r="CV83" s="277"/>
      <c r="CW83" s="277"/>
      <c r="CX83" s="55"/>
      <c r="CY83" s="55"/>
      <c r="CZ83" s="55"/>
      <c r="DA83" s="55"/>
      <c r="DB83" s="55"/>
      <c r="DC83" s="55"/>
      <c r="DD83" s="55"/>
      <c r="DE83" s="55"/>
      <c r="DF83" s="55"/>
      <c r="DG83" s="55"/>
      <c r="DH83" s="55"/>
      <c r="DI83" s="55"/>
      <c r="DJ83" s="130"/>
      <c r="DK83" s="55"/>
      <c r="DL83" s="55"/>
      <c r="DM83" s="55"/>
      <c r="DN83" s="55"/>
      <c r="DO83" s="130"/>
      <c r="DP83" s="55"/>
      <c r="DQ83" s="55"/>
      <c r="DR83" s="55"/>
      <c r="DS83" s="55"/>
      <c r="DT83" s="55"/>
      <c r="DU83" s="55"/>
      <c r="DV83" s="55"/>
      <c r="DW83" s="55"/>
      <c r="DX83" s="55"/>
      <c r="DY83" s="55"/>
      <c r="DZ83" s="55"/>
      <c r="EA83" s="130"/>
      <c r="EB83" s="55"/>
      <c r="EC83" s="55"/>
      <c r="ED83" s="4"/>
      <c r="EE83" s="96"/>
      <c r="EF83" s="96"/>
      <c r="EG83" s="96"/>
      <c r="EH83" s="96"/>
      <c r="EI83" s="96"/>
      <c r="EJ83" s="96"/>
      <c r="EK83" s="55"/>
      <c r="EL83" s="54" t="s">
        <v>66</v>
      </c>
      <c r="EM83" s="277" t="s">
        <v>107</v>
      </c>
      <c r="EN83" s="277"/>
      <c r="EO83" s="277"/>
      <c r="EP83" s="277"/>
      <c r="EQ83" s="277"/>
      <c r="ER83" s="277"/>
      <c r="ES83" s="55"/>
      <c r="ET83" s="55"/>
      <c r="EU83" s="55"/>
      <c r="EV83" s="55"/>
      <c r="EW83" s="55"/>
      <c r="EX83" s="55"/>
      <c r="EY83" s="55"/>
      <c r="EZ83" s="55"/>
      <c r="FA83" s="55"/>
      <c r="FB83" s="55"/>
      <c r="FC83" s="55"/>
      <c r="FD83" s="55"/>
      <c r="FE83" s="130"/>
    </row>
    <row r="84" spans="1:161" ht="17.25" customHeight="1" x14ac:dyDescent="0.2">
      <c r="A84" s="124"/>
      <c r="B84" s="124"/>
      <c r="C84" s="124"/>
      <c r="D84" s="124"/>
      <c r="E84" s="124"/>
      <c r="F84" s="124"/>
      <c r="G84" s="124"/>
      <c r="H84" s="124"/>
      <c r="I84" s="124"/>
      <c r="J84" s="124"/>
      <c r="K84" s="124"/>
      <c r="L84" s="124"/>
      <c r="M84" s="124"/>
      <c r="N84" s="124"/>
      <c r="O84" s="124"/>
      <c r="P84" s="124"/>
      <c r="BJ84" s="55"/>
      <c r="BK84" s="55"/>
      <c r="BL84" s="130"/>
      <c r="BM84" s="55"/>
      <c r="BN84" s="55"/>
      <c r="BO84" s="55"/>
      <c r="BP84" s="55"/>
      <c r="BQ84" s="55"/>
      <c r="BR84" s="55"/>
      <c r="BS84" s="55"/>
      <c r="BT84" s="55"/>
      <c r="BU84" s="55"/>
      <c r="BV84" s="55"/>
      <c r="BW84" s="55"/>
      <c r="BX84" s="130"/>
      <c r="BY84" s="55"/>
      <c r="BZ84" s="55"/>
      <c r="CA84" s="4"/>
      <c r="CB84" s="192"/>
      <c r="CC84" s="192"/>
      <c r="CD84" s="192"/>
      <c r="CE84" s="192"/>
      <c r="CF84" s="192"/>
      <c r="CG84" s="192"/>
      <c r="CH84" s="55"/>
      <c r="CI84" s="54"/>
      <c r="CJ84" s="55"/>
      <c r="CK84" s="55"/>
      <c r="CL84" s="55"/>
      <c r="CM84" s="55"/>
      <c r="CN84" s="55"/>
      <c r="CO84" s="55"/>
      <c r="CP84" s="55"/>
      <c r="CQ84" s="4"/>
      <c r="CR84" s="277"/>
      <c r="CS84" s="277"/>
      <c r="CT84" s="277"/>
      <c r="CU84" s="277"/>
      <c r="CV84" s="277"/>
      <c r="CW84" s="277"/>
      <c r="CX84" s="55"/>
      <c r="CY84" s="55"/>
      <c r="CZ84" s="55"/>
      <c r="DA84" s="55"/>
      <c r="DB84" s="55"/>
      <c r="DC84" s="55"/>
      <c r="DD84" s="55"/>
      <c r="DE84" s="55"/>
      <c r="DF84" s="55"/>
      <c r="DG84" s="55"/>
      <c r="DH84" s="55"/>
      <c r="DI84" s="55"/>
      <c r="DJ84" s="130"/>
      <c r="DK84" s="55"/>
      <c r="DL84" s="55"/>
      <c r="DM84" s="55"/>
      <c r="DN84" s="55"/>
      <c r="DO84" s="130"/>
      <c r="DP84" s="55"/>
      <c r="DQ84" s="55"/>
      <c r="DR84" s="55"/>
      <c r="DS84" s="55"/>
      <c r="DT84" s="55"/>
      <c r="DU84" s="55"/>
      <c r="DV84" s="55"/>
      <c r="DW84" s="55"/>
      <c r="DX84" s="55"/>
      <c r="DY84" s="55"/>
      <c r="DZ84" s="55"/>
      <c r="EA84" s="130"/>
      <c r="EB84" s="55"/>
      <c r="EC84" s="55"/>
      <c r="ED84" s="4"/>
      <c r="EE84" s="96"/>
      <c r="EF84" s="96"/>
      <c r="EG84" s="96"/>
      <c r="EH84" s="96"/>
      <c r="EI84" s="96"/>
      <c r="EJ84" s="96"/>
      <c r="EK84" s="55"/>
      <c r="EL84" s="21"/>
      <c r="EM84" s="277"/>
      <c r="EN84" s="277"/>
      <c r="EO84" s="277"/>
      <c r="EP84" s="277"/>
      <c r="EQ84" s="277"/>
      <c r="ER84" s="277"/>
      <c r="ES84" s="55"/>
      <c r="ET84" s="55"/>
      <c r="EU84" s="55"/>
      <c r="EV84" s="55"/>
      <c r="EW84" s="55"/>
      <c r="EX84" s="55"/>
      <c r="EY84" s="55"/>
      <c r="EZ84" s="55"/>
      <c r="FA84" s="55"/>
      <c r="FB84" s="55"/>
      <c r="FC84" s="55"/>
      <c r="FD84" s="55"/>
      <c r="FE84" s="130"/>
    </row>
    <row r="85" spans="1:161" ht="17.25" customHeight="1" x14ac:dyDescent="0.2">
      <c r="A85" s="124"/>
      <c r="B85" s="124"/>
      <c r="C85" s="124"/>
      <c r="D85" s="124"/>
      <c r="E85" s="124"/>
      <c r="F85" s="124"/>
      <c r="G85" s="124"/>
      <c r="H85" s="124"/>
      <c r="I85" s="124"/>
      <c r="J85" s="124"/>
      <c r="K85" s="124"/>
      <c r="L85" s="124"/>
      <c r="M85" s="124"/>
      <c r="N85" s="124"/>
      <c r="O85" s="124"/>
      <c r="P85" s="124"/>
      <c r="BJ85" s="55"/>
      <c r="BK85" s="55"/>
      <c r="BL85" s="130"/>
      <c r="BM85" s="55"/>
      <c r="BN85" s="55"/>
      <c r="BO85" s="55"/>
      <c r="BP85" s="55"/>
      <c r="BQ85" s="55"/>
      <c r="BR85" s="55"/>
      <c r="BS85" s="55"/>
      <c r="BT85" s="55"/>
      <c r="BU85" s="55"/>
      <c r="BV85" s="55"/>
      <c r="BW85" s="55"/>
      <c r="BX85" s="130"/>
      <c r="BY85" s="55"/>
      <c r="BZ85" s="55"/>
      <c r="CA85" s="4"/>
      <c r="CB85" s="192"/>
      <c r="CC85" s="192"/>
      <c r="CD85" s="192"/>
      <c r="CE85" s="192"/>
      <c r="CF85" s="192"/>
      <c r="CG85" s="192"/>
      <c r="CH85" s="55"/>
      <c r="CI85" s="4"/>
      <c r="CJ85" s="55"/>
      <c r="CK85" s="55"/>
      <c r="CL85" s="55"/>
      <c r="CM85" s="55"/>
      <c r="CN85" s="55"/>
      <c r="CO85" s="55"/>
      <c r="CP85" s="55"/>
      <c r="CQ85" s="4"/>
      <c r="CR85" s="277"/>
      <c r="CS85" s="277"/>
      <c r="CT85" s="277"/>
      <c r="CU85" s="277"/>
      <c r="CV85" s="277"/>
      <c r="CW85" s="277"/>
      <c r="CX85" s="55"/>
      <c r="CY85" s="55"/>
      <c r="CZ85" s="55"/>
      <c r="DA85" s="55"/>
      <c r="DB85" s="55"/>
      <c r="DC85" s="55"/>
      <c r="DD85" s="55"/>
      <c r="DE85" s="55"/>
      <c r="DF85" s="55"/>
      <c r="DG85" s="55"/>
      <c r="DH85" s="55"/>
      <c r="DI85" s="55"/>
      <c r="DJ85" s="130"/>
      <c r="DK85" s="55"/>
      <c r="DL85" s="55"/>
      <c r="DM85" s="55"/>
      <c r="DN85" s="55"/>
      <c r="DO85" s="130"/>
      <c r="DP85" s="55"/>
      <c r="DQ85" s="55"/>
      <c r="DR85" s="55"/>
      <c r="DS85" s="55"/>
      <c r="DT85" s="55"/>
      <c r="DU85" s="55"/>
      <c r="DV85" s="55"/>
      <c r="DW85" s="55"/>
      <c r="DX85" s="55"/>
      <c r="DY85" s="55"/>
      <c r="DZ85" s="55"/>
      <c r="EA85" s="130"/>
      <c r="EB85" s="55"/>
      <c r="EC85" s="55"/>
      <c r="ED85" s="55"/>
      <c r="EE85" s="55"/>
      <c r="EF85" s="55"/>
      <c r="EG85" s="55"/>
      <c r="EH85" s="55"/>
      <c r="EI85" s="55"/>
      <c r="EJ85" s="55"/>
      <c r="EK85" s="55"/>
      <c r="EL85" s="117"/>
      <c r="EM85" s="277"/>
      <c r="EN85" s="277"/>
      <c r="EO85" s="277"/>
      <c r="EP85" s="277"/>
      <c r="EQ85" s="277"/>
      <c r="ER85" s="277"/>
      <c r="ES85" s="55"/>
      <c r="ET85" s="55"/>
      <c r="EU85" s="55"/>
      <c r="EV85" s="55"/>
      <c r="EW85" s="55"/>
      <c r="EX85" s="55"/>
      <c r="EY85" s="55"/>
      <c r="EZ85" s="55"/>
      <c r="FA85" s="55"/>
      <c r="FB85" s="55"/>
      <c r="FC85" s="55"/>
      <c r="FD85" s="55"/>
      <c r="FE85" s="130"/>
    </row>
    <row r="86" spans="1:161" ht="17.25" customHeight="1" x14ac:dyDescent="0.2">
      <c r="A86" s="124"/>
      <c r="B86" s="124"/>
      <c r="C86" s="124"/>
      <c r="D86" s="124"/>
      <c r="E86" s="124"/>
      <c r="F86" s="124"/>
      <c r="G86" s="124"/>
      <c r="H86" s="124"/>
      <c r="I86" s="124"/>
      <c r="J86" s="124"/>
      <c r="K86" s="124"/>
      <c r="L86" s="124"/>
      <c r="M86" s="124"/>
      <c r="N86" s="124"/>
      <c r="O86" s="124"/>
      <c r="P86" s="124"/>
      <c r="BJ86" s="55"/>
      <c r="BK86" s="55"/>
      <c r="BL86" s="130"/>
      <c r="BM86" s="55"/>
      <c r="BN86" s="55"/>
      <c r="BO86" s="55"/>
      <c r="BP86" s="55"/>
      <c r="BQ86" s="55"/>
      <c r="BR86" s="55"/>
      <c r="BS86" s="55"/>
      <c r="BT86" s="55"/>
      <c r="BU86" s="55"/>
      <c r="BV86" s="55"/>
      <c r="BW86" s="55"/>
      <c r="BX86" s="130"/>
      <c r="BY86" s="55"/>
      <c r="BZ86" s="55"/>
      <c r="CA86" s="4"/>
      <c r="CB86" s="192"/>
      <c r="CC86" s="192"/>
      <c r="CD86" s="192"/>
      <c r="CE86" s="192"/>
      <c r="CF86" s="192"/>
      <c r="CG86" s="192"/>
      <c r="CH86" s="55"/>
      <c r="CI86" s="54"/>
      <c r="CJ86" s="55"/>
      <c r="CK86" s="55"/>
      <c r="CL86" s="55"/>
      <c r="CM86" s="55"/>
      <c r="CN86" s="55"/>
      <c r="CO86" s="55"/>
      <c r="CP86" s="55"/>
      <c r="CQ86" s="55"/>
      <c r="CR86" s="55"/>
      <c r="CS86" s="55"/>
      <c r="CT86" s="55"/>
      <c r="CU86" s="55"/>
      <c r="CV86" s="55"/>
      <c r="CW86" s="55"/>
      <c r="CX86" s="55"/>
      <c r="CY86" s="55"/>
      <c r="CZ86" s="55"/>
      <c r="DA86" s="55"/>
      <c r="DB86" s="55"/>
      <c r="DC86" s="55"/>
      <c r="DD86" s="55"/>
      <c r="DE86" s="55"/>
      <c r="DF86" s="55"/>
      <c r="DG86" s="55"/>
      <c r="DH86" s="55"/>
      <c r="DI86" s="55"/>
      <c r="DJ86" s="130"/>
      <c r="DK86" s="55"/>
      <c r="DL86" s="55"/>
      <c r="DM86" s="55"/>
      <c r="DN86" s="55"/>
      <c r="DO86" s="130"/>
      <c r="DP86" s="55"/>
      <c r="DQ86" s="55"/>
      <c r="DR86" s="55"/>
      <c r="DS86" s="55"/>
      <c r="DT86" s="55"/>
      <c r="DU86" s="55"/>
      <c r="DV86" s="55"/>
      <c r="DW86" s="55"/>
      <c r="DX86" s="55"/>
      <c r="DY86" s="55"/>
      <c r="DZ86" s="55"/>
      <c r="EA86" s="130"/>
      <c r="EB86" s="55"/>
      <c r="EC86" s="55"/>
      <c r="ED86" s="55"/>
      <c r="EE86" s="55"/>
      <c r="EF86" s="55"/>
      <c r="EG86" s="55"/>
      <c r="EH86" s="55"/>
      <c r="EI86" s="55"/>
      <c r="EJ86" s="55"/>
      <c r="EK86" s="55"/>
      <c r="EL86" s="4"/>
      <c r="EM86" s="4"/>
      <c r="EN86" s="4"/>
      <c r="EO86" s="4"/>
      <c r="EP86" s="4"/>
      <c r="EQ86" s="4"/>
      <c r="ER86" s="4"/>
      <c r="ES86" s="55"/>
      <c r="ET86" s="55"/>
      <c r="EU86" s="55"/>
      <c r="EV86" s="55"/>
      <c r="EW86" s="55"/>
      <c r="EX86" s="55"/>
      <c r="EY86" s="55"/>
      <c r="EZ86" s="55"/>
      <c r="FA86" s="55"/>
      <c r="FB86" s="55"/>
      <c r="FC86" s="55"/>
      <c r="FD86" s="55"/>
      <c r="FE86" s="130"/>
    </row>
    <row r="87" spans="1:161" ht="17.25" customHeight="1" x14ac:dyDescent="0.2">
      <c r="A87" s="124"/>
      <c r="B87" s="124"/>
      <c r="C87" s="124"/>
      <c r="D87" s="124"/>
      <c r="E87" s="124"/>
      <c r="F87" s="124"/>
      <c r="G87" s="124"/>
      <c r="H87" s="124"/>
      <c r="I87" s="124"/>
      <c r="J87" s="124"/>
      <c r="K87" s="124"/>
      <c r="L87" s="124"/>
      <c r="M87" s="124"/>
      <c r="N87" s="124"/>
      <c r="O87" s="124"/>
      <c r="P87" s="124"/>
      <c r="BJ87" s="55"/>
      <c r="BK87" s="55"/>
      <c r="BL87" s="130"/>
      <c r="BM87" s="55"/>
      <c r="BN87" s="55"/>
      <c r="BO87" s="55"/>
      <c r="BP87" s="55"/>
      <c r="BQ87" s="55"/>
      <c r="BR87" s="55"/>
      <c r="BS87" s="55"/>
      <c r="BT87" s="55"/>
      <c r="BU87" s="55"/>
      <c r="BV87" s="55"/>
      <c r="BW87" s="55"/>
      <c r="BX87" s="130"/>
      <c r="BY87" s="55"/>
      <c r="BZ87" s="55"/>
      <c r="CA87" s="4"/>
      <c r="CB87" s="4"/>
      <c r="CC87" s="4"/>
      <c r="CD87" s="4"/>
      <c r="CE87" s="4"/>
      <c r="CF87" s="4"/>
      <c r="CG87" s="4"/>
      <c r="CH87" s="55"/>
      <c r="CI87" s="54"/>
      <c r="CJ87" s="96"/>
      <c r="CK87" s="96"/>
      <c r="CL87" s="96"/>
      <c r="CM87" s="96"/>
      <c r="CN87" s="96"/>
      <c r="CO87" s="96"/>
      <c r="CP87" s="55"/>
      <c r="CQ87" s="55"/>
      <c r="CR87" s="55"/>
      <c r="CS87" s="55"/>
      <c r="CT87" s="55"/>
      <c r="CU87" s="55"/>
      <c r="CV87" s="55"/>
      <c r="CW87" s="55"/>
      <c r="CX87" s="55"/>
      <c r="CY87" s="55"/>
      <c r="CZ87" s="55"/>
      <c r="DA87" s="55"/>
      <c r="DB87" s="55"/>
      <c r="DC87" s="55"/>
      <c r="DD87" s="55"/>
      <c r="DE87" s="55"/>
      <c r="DF87" s="55"/>
      <c r="DG87" s="55"/>
      <c r="DH87" s="55"/>
      <c r="DI87" s="55"/>
      <c r="DJ87" s="130"/>
      <c r="DK87" s="55"/>
      <c r="DL87" s="55"/>
      <c r="DM87" s="55"/>
      <c r="DN87" s="55"/>
      <c r="DO87" s="130"/>
      <c r="DP87" s="55"/>
      <c r="DQ87" s="55"/>
      <c r="DR87" s="55"/>
      <c r="DS87" s="55"/>
      <c r="DT87" s="55"/>
      <c r="DU87" s="55"/>
      <c r="DV87" s="55"/>
      <c r="DW87" s="55"/>
      <c r="DX87" s="55"/>
      <c r="DY87" s="55"/>
      <c r="DZ87" s="55"/>
      <c r="EA87" s="130"/>
      <c r="EB87" s="55"/>
      <c r="EC87" s="55"/>
      <c r="ED87" s="55"/>
      <c r="EE87" s="55"/>
      <c r="EF87" s="55"/>
      <c r="EG87" s="55"/>
      <c r="EH87" s="55"/>
      <c r="EI87" s="55"/>
      <c r="EJ87" s="55"/>
      <c r="EK87" s="55"/>
      <c r="EL87" s="4"/>
      <c r="EM87" s="4"/>
      <c r="EN87" s="4"/>
      <c r="EO87" s="4"/>
      <c r="EP87" s="4"/>
      <c r="EQ87" s="4"/>
      <c r="ER87" s="4"/>
      <c r="ES87" s="55"/>
      <c r="ET87" s="55"/>
      <c r="EU87" s="55"/>
      <c r="EV87" s="55"/>
      <c r="EW87" s="55"/>
      <c r="EX87" s="55"/>
      <c r="EY87" s="55"/>
      <c r="EZ87" s="55"/>
      <c r="FA87" s="55"/>
      <c r="FB87" s="55"/>
      <c r="FC87" s="55"/>
      <c r="FD87" s="55"/>
      <c r="FE87" s="130"/>
    </row>
    <row r="88" spans="1:161" ht="17.25" customHeight="1" x14ac:dyDescent="0.2">
      <c r="A88" s="124"/>
      <c r="B88" s="124"/>
      <c r="C88" s="124"/>
      <c r="D88" s="124"/>
      <c r="E88" s="124"/>
      <c r="F88" s="124"/>
      <c r="G88" s="124"/>
      <c r="H88" s="124"/>
      <c r="I88" s="124"/>
      <c r="J88" s="124"/>
      <c r="K88" s="124"/>
      <c r="L88" s="124"/>
      <c r="M88" s="124"/>
      <c r="N88" s="124"/>
      <c r="O88" s="124"/>
      <c r="P88" s="124"/>
      <c r="BJ88" s="55"/>
      <c r="BK88" s="55"/>
      <c r="BL88" s="130"/>
      <c r="BM88" s="55"/>
      <c r="BN88" s="55"/>
      <c r="BO88" s="55"/>
      <c r="BP88" s="55"/>
      <c r="BQ88" s="55"/>
      <c r="BR88" s="55"/>
      <c r="BS88" s="55"/>
      <c r="BT88" s="55"/>
      <c r="BU88" s="55"/>
      <c r="BV88" s="55"/>
      <c r="BW88" s="55"/>
      <c r="BX88" s="130"/>
      <c r="BY88" s="55"/>
      <c r="BZ88" s="55"/>
      <c r="CA88" s="54"/>
      <c r="CB88" s="271"/>
      <c r="CC88" s="271"/>
      <c r="CD88" s="271"/>
      <c r="CE88" s="271"/>
      <c r="CF88" s="271"/>
      <c r="CG88" s="271"/>
      <c r="CH88" s="55"/>
      <c r="CI88" s="4"/>
      <c r="CJ88" s="96"/>
      <c r="CK88" s="96"/>
      <c r="CL88" s="96"/>
      <c r="CM88" s="96"/>
      <c r="CN88" s="96"/>
      <c r="CO88" s="96"/>
      <c r="CP88" s="55"/>
      <c r="CQ88" s="55"/>
      <c r="CR88" s="55"/>
      <c r="CS88" s="55"/>
      <c r="CT88" s="55"/>
      <c r="CU88" s="55"/>
      <c r="CV88" s="55"/>
      <c r="CW88" s="55"/>
      <c r="CX88" s="55"/>
      <c r="CY88" s="55"/>
      <c r="CZ88" s="55"/>
      <c r="DA88" s="55"/>
      <c r="DB88" s="55"/>
      <c r="DC88" s="55"/>
      <c r="DD88" s="55"/>
      <c r="DE88" s="55"/>
      <c r="DF88" s="55"/>
      <c r="DG88" s="55"/>
      <c r="DH88" s="55"/>
      <c r="DI88" s="55"/>
      <c r="DJ88" s="130"/>
      <c r="DK88" s="55"/>
      <c r="DL88" s="55"/>
      <c r="DM88" s="55"/>
      <c r="DN88" s="55"/>
      <c r="DO88" s="130"/>
      <c r="DP88" s="55"/>
      <c r="DQ88" s="55"/>
      <c r="DR88" s="55"/>
      <c r="DS88" s="55"/>
      <c r="DT88" s="55"/>
      <c r="DU88" s="55"/>
      <c r="DV88" s="55"/>
      <c r="DW88" s="55"/>
      <c r="DX88" s="55"/>
      <c r="DY88" s="55"/>
      <c r="DZ88" s="55"/>
      <c r="EA88" s="130"/>
      <c r="EB88" s="55"/>
      <c r="EC88" s="55"/>
      <c r="ED88" s="55"/>
      <c r="EE88" s="55"/>
      <c r="EF88" s="55"/>
      <c r="EG88" s="55"/>
      <c r="EH88" s="55"/>
      <c r="EI88" s="55"/>
      <c r="EJ88" s="55"/>
      <c r="EK88" s="55"/>
      <c r="EL88" s="4"/>
      <c r="EM88" s="4"/>
      <c r="EN88" s="4"/>
      <c r="EO88" s="4"/>
      <c r="EP88" s="4"/>
      <c r="EQ88" s="4"/>
      <c r="ER88" s="4"/>
      <c r="ES88" s="55"/>
      <c r="ET88" s="55"/>
      <c r="EU88" s="55"/>
      <c r="EV88" s="55"/>
      <c r="EW88" s="55"/>
      <c r="EX88" s="55"/>
      <c r="EY88" s="55"/>
      <c r="EZ88" s="55"/>
      <c r="FA88" s="55"/>
      <c r="FB88" s="55"/>
      <c r="FC88" s="55"/>
      <c r="FD88" s="55"/>
      <c r="FE88" s="130"/>
    </row>
    <row r="89" spans="1:161" ht="17.25" customHeight="1" x14ac:dyDescent="0.2">
      <c r="A89" s="124"/>
      <c r="B89" s="124"/>
      <c r="C89" s="124"/>
      <c r="D89" s="124"/>
      <c r="E89" s="124"/>
      <c r="F89" s="124"/>
      <c r="G89" s="124"/>
      <c r="H89" s="124"/>
      <c r="I89" s="124"/>
      <c r="J89" s="124"/>
      <c r="K89" s="124"/>
      <c r="L89" s="124"/>
      <c r="M89" s="124"/>
      <c r="N89" s="124"/>
      <c r="O89" s="124"/>
      <c r="P89" s="124"/>
      <c r="BJ89" s="55"/>
      <c r="BK89" s="55"/>
      <c r="BL89" s="130"/>
      <c r="BM89" s="55"/>
      <c r="BN89" s="55"/>
      <c r="BO89" s="55"/>
      <c r="BP89" s="55"/>
      <c r="BQ89" s="55"/>
      <c r="BR89" s="55"/>
      <c r="BS89" s="55"/>
      <c r="BT89" s="55"/>
      <c r="BU89" s="55"/>
      <c r="BV89" s="55"/>
      <c r="BW89" s="55"/>
      <c r="BX89" s="130"/>
      <c r="BY89" s="55"/>
      <c r="BZ89" s="55"/>
      <c r="CA89" s="4"/>
      <c r="CB89" s="271"/>
      <c r="CC89" s="271"/>
      <c r="CD89" s="271"/>
      <c r="CE89" s="271"/>
      <c r="CF89" s="271"/>
      <c r="CG89" s="271"/>
      <c r="CH89" s="55"/>
      <c r="CI89" s="4"/>
      <c r="CJ89" s="96"/>
      <c r="CK89" s="96"/>
      <c r="CL89" s="96"/>
      <c r="CM89" s="96"/>
      <c r="CN89" s="96"/>
      <c r="CO89" s="96"/>
      <c r="CP89" s="55"/>
      <c r="CQ89" s="55"/>
      <c r="CR89" s="55"/>
      <c r="CS89" s="55"/>
      <c r="CT89" s="55"/>
      <c r="CU89" s="55"/>
      <c r="CV89" s="55"/>
      <c r="CW89" s="55"/>
      <c r="CX89" s="55"/>
      <c r="CY89" s="55"/>
      <c r="CZ89" s="55"/>
      <c r="DA89" s="55"/>
      <c r="DB89" s="55"/>
      <c r="DC89" s="55"/>
      <c r="DD89" s="55"/>
      <c r="DE89" s="55"/>
      <c r="DF89" s="55"/>
      <c r="DG89" s="55"/>
      <c r="DH89" s="55"/>
      <c r="DI89" s="55"/>
      <c r="DJ89" s="130"/>
      <c r="DK89" s="55"/>
      <c r="DL89" s="55"/>
      <c r="DM89" s="55"/>
      <c r="DN89" s="55"/>
      <c r="DO89" s="130"/>
      <c r="DP89" s="55"/>
      <c r="DQ89" s="55"/>
      <c r="DR89" s="55"/>
      <c r="DS89" s="55"/>
      <c r="DT89" s="55"/>
      <c r="DU89" s="55"/>
      <c r="DV89" s="55"/>
      <c r="DW89" s="55"/>
      <c r="DX89" s="55"/>
      <c r="DY89" s="55"/>
      <c r="DZ89" s="55"/>
      <c r="EA89" s="130"/>
      <c r="EB89" s="55"/>
      <c r="EC89" s="55"/>
      <c r="ED89" s="55"/>
      <c r="EE89" s="55"/>
      <c r="EF89" s="55"/>
      <c r="EG89" s="55"/>
      <c r="EH89" s="55"/>
      <c r="EI89" s="55"/>
      <c r="EJ89" s="55"/>
      <c r="EK89" s="55"/>
      <c r="EL89" s="4"/>
      <c r="EM89" s="4"/>
      <c r="EN89" s="4"/>
      <c r="EO89" s="4"/>
      <c r="EP89" s="4"/>
      <c r="EQ89" s="4"/>
      <c r="ER89" s="4"/>
      <c r="ES89" s="55"/>
      <c r="ET89" s="55"/>
      <c r="EU89" s="55"/>
      <c r="EV89" s="55"/>
      <c r="EW89" s="55"/>
      <c r="EX89" s="55"/>
      <c r="EY89" s="55"/>
      <c r="EZ89" s="55"/>
      <c r="FA89" s="55"/>
      <c r="FB89" s="55"/>
      <c r="FC89" s="55"/>
      <c r="FD89" s="55"/>
      <c r="FE89" s="130"/>
    </row>
    <row r="90" spans="1:161" ht="17.25" customHeight="1" x14ac:dyDescent="0.2">
      <c r="A90" s="124"/>
      <c r="B90" s="124"/>
      <c r="C90" s="124"/>
      <c r="D90" s="124"/>
      <c r="E90" s="124"/>
      <c r="F90" s="124"/>
      <c r="G90" s="124"/>
      <c r="H90" s="124"/>
      <c r="I90" s="124"/>
      <c r="J90" s="124"/>
      <c r="K90" s="124"/>
      <c r="L90" s="124"/>
      <c r="M90" s="124"/>
      <c r="N90" s="124"/>
      <c r="O90" s="124"/>
      <c r="P90" s="124"/>
      <c r="BJ90" s="55"/>
      <c r="BK90" s="55"/>
      <c r="BL90" s="130"/>
      <c r="BM90" s="55"/>
      <c r="BN90" s="55"/>
      <c r="BO90" s="55"/>
      <c r="BP90" s="55"/>
      <c r="BQ90" s="55"/>
      <c r="BR90" s="55"/>
      <c r="BS90" s="55"/>
      <c r="BT90" s="55"/>
      <c r="BU90" s="55"/>
      <c r="BV90" s="55"/>
      <c r="BW90" s="55"/>
      <c r="BX90" s="130"/>
      <c r="BY90" s="55"/>
      <c r="BZ90" s="55"/>
      <c r="CA90" s="54"/>
      <c r="CB90" s="271"/>
      <c r="CC90" s="271"/>
      <c r="CD90" s="271"/>
      <c r="CE90" s="271"/>
      <c r="CF90" s="271"/>
      <c r="CG90" s="271"/>
      <c r="CH90" s="55"/>
      <c r="CI90" s="55"/>
      <c r="CJ90" s="55"/>
      <c r="CK90" s="55"/>
      <c r="CL90" s="55"/>
      <c r="CM90" s="55"/>
      <c r="CN90" s="55"/>
      <c r="CO90" s="55"/>
      <c r="CP90" s="55"/>
      <c r="CQ90" s="55"/>
      <c r="CR90" s="55"/>
      <c r="CS90" s="55"/>
      <c r="CT90" s="55"/>
      <c r="CU90" s="55"/>
      <c r="CV90" s="55"/>
      <c r="CW90" s="55"/>
      <c r="CX90" s="55"/>
      <c r="CY90" s="55"/>
      <c r="CZ90" s="55"/>
      <c r="DA90" s="55"/>
      <c r="DB90" s="55"/>
      <c r="DC90" s="55"/>
      <c r="DD90" s="55"/>
      <c r="DE90" s="55"/>
      <c r="DF90" s="55"/>
      <c r="DG90" s="55"/>
      <c r="DH90" s="55"/>
      <c r="DI90" s="55"/>
      <c r="DJ90" s="130"/>
      <c r="DK90" s="55"/>
      <c r="DL90" s="55"/>
      <c r="DM90" s="55"/>
      <c r="DN90" s="55"/>
      <c r="DO90" s="130"/>
      <c r="DP90" s="55"/>
      <c r="DQ90" s="55"/>
      <c r="DR90" s="55"/>
      <c r="DS90" s="55"/>
      <c r="DT90" s="55"/>
      <c r="DU90" s="55"/>
      <c r="DV90" s="55"/>
      <c r="DW90" s="55"/>
      <c r="DX90" s="55"/>
      <c r="DY90" s="55"/>
      <c r="DZ90" s="55"/>
      <c r="EA90" s="130"/>
      <c r="EB90" s="55"/>
      <c r="EC90" s="55"/>
      <c r="ED90" s="55"/>
      <c r="EE90" s="55"/>
      <c r="EF90" s="55"/>
      <c r="EG90" s="55"/>
      <c r="EH90" s="55"/>
      <c r="EI90" s="55"/>
      <c r="EJ90" s="55"/>
      <c r="EK90" s="55"/>
      <c r="EL90" s="4"/>
      <c r="EM90" s="4"/>
      <c r="EN90" s="4"/>
      <c r="EO90" s="4"/>
      <c r="EP90" s="4"/>
      <c r="EQ90" s="4"/>
      <c r="ER90" s="4"/>
      <c r="ES90" s="55"/>
      <c r="ET90" s="55"/>
      <c r="EU90" s="55"/>
      <c r="EV90" s="55"/>
      <c r="EW90" s="55"/>
      <c r="EX90" s="55"/>
      <c r="EY90" s="55"/>
      <c r="EZ90" s="55"/>
      <c r="FA90" s="55"/>
      <c r="FB90" s="55"/>
      <c r="FC90" s="55"/>
      <c r="FD90" s="55"/>
      <c r="FE90" s="130"/>
    </row>
    <row r="91" spans="1:161" ht="17.25" customHeight="1" x14ac:dyDescent="0.2">
      <c r="A91" s="124"/>
      <c r="B91" s="124"/>
      <c r="C91" s="124"/>
      <c r="D91" s="124"/>
      <c r="E91" s="124"/>
      <c r="F91" s="124"/>
      <c r="G91" s="124"/>
      <c r="H91" s="124"/>
      <c r="I91" s="124"/>
      <c r="J91" s="124"/>
      <c r="K91" s="124"/>
      <c r="L91" s="124"/>
      <c r="M91" s="124"/>
      <c r="N91" s="124"/>
      <c r="O91" s="124"/>
      <c r="P91" s="124"/>
      <c r="BJ91" s="55"/>
      <c r="BK91" s="55"/>
      <c r="BL91" s="130"/>
      <c r="BM91" s="55"/>
      <c r="BN91" s="55"/>
      <c r="BO91" s="55"/>
      <c r="BP91" s="55"/>
      <c r="BQ91" s="55"/>
      <c r="BR91" s="55"/>
      <c r="BS91" s="55"/>
      <c r="BT91" s="55"/>
      <c r="BU91" s="55"/>
      <c r="BV91" s="55"/>
      <c r="BW91" s="55"/>
      <c r="BX91" s="130"/>
      <c r="BY91" s="55"/>
      <c r="BZ91" s="55"/>
      <c r="CA91" s="55"/>
      <c r="CB91" s="55"/>
      <c r="CC91" s="55"/>
      <c r="CD91" s="55"/>
      <c r="CE91" s="55"/>
      <c r="CF91" s="55"/>
      <c r="CG91" s="55"/>
      <c r="CH91" s="55"/>
      <c r="CI91" s="55"/>
      <c r="CJ91" s="55"/>
      <c r="CK91" s="55"/>
      <c r="CL91" s="55"/>
      <c r="CM91" s="55"/>
      <c r="CN91" s="55"/>
      <c r="CO91" s="55"/>
      <c r="CP91" s="55"/>
      <c r="CX91" s="55"/>
      <c r="CY91" s="55"/>
      <c r="CZ91" s="55"/>
      <c r="DA91" s="55"/>
      <c r="DB91" s="55"/>
      <c r="DC91" s="55"/>
      <c r="DD91" s="55"/>
      <c r="DE91" s="55"/>
      <c r="DF91" s="55"/>
      <c r="DG91" s="55"/>
      <c r="DH91" s="55"/>
      <c r="DI91" s="55"/>
      <c r="DJ91" s="130"/>
      <c r="DK91" s="55"/>
      <c r="DL91" s="55"/>
      <c r="DM91" s="55"/>
      <c r="DN91" s="55"/>
      <c r="DO91" s="130"/>
      <c r="DP91" s="55"/>
      <c r="DQ91" s="55"/>
      <c r="DR91" s="55"/>
      <c r="DS91" s="55"/>
      <c r="DT91" s="55"/>
      <c r="DU91" s="55"/>
      <c r="DV91" s="55"/>
      <c r="DW91" s="55"/>
      <c r="DX91" s="55"/>
      <c r="DY91" s="55"/>
      <c r="DZ91" s="55"/>
      <c r="EA91" s="130"/>
      <c r="EB91" s="55"/>
      <c r="EC91" s="55"/>
      <c r="ED91" s="55"/>
      <c r="EE91" s="55"/>
      <c r="EF91" s="55"/>
      <c r="EG91" s="55"/>
      <c r="EH91" s="55"/>
      <c r="EI91" s="55"/>
      <c r="EJ91" s="55"/>
      <c r="EK91" s="55"/>
      <c r="EL91" s="4"/>
      <c r="EM91" s="4"/>
      <c r="EN91" s="4"/>
      <c r="EO91" s="4"/>
      <c r="EP91" s="4"/>
      <c r="EQ91" s="4"/>
      <c r="ER91" s="4"/>
      <c r="ES91" s="55"/>
      <c r="ET91" s="55"/>
      <c r="EU91" s="55"/>
      <c r="EV91" s="55"/>
      <c r="EW91" s="55"/>
      <c r="EX91" s="55"/>
      <c r="EY91" s="55"/>
      <c r="EZ91" s="55"/>
      <c r="FA91" s="55"/>
      <c r="FB91" s="55"/>
      <c r="FC91" s="55"/>
      <c r="FD91" s="55"/>
      <c r="FE91" s="130"/>
    </row>
    <row r="92" spans="1:161" ht="17.25" customHeight="1" x14ac:dyDescent="0.2">
      <c r="A92" s="124"/>
      <c r="B92" s="124"/>
      <c r="C92" s="124"/>
      <c r="D92" s="124"/>
      <c r="E92" s="124"/>
      <c r="F92" s="124"/>
      <c r="G92" s="124"/>
      <c r="H92" s="124"/>
      <c r="I92" s="124"/>
      <c r="J92" s="124"/>
      <c r="K92" s="124"/>
      <c r="L92" s="124"/>
      <c r="M92" s="124"/>
      <c r="N92" s="124"/>
      <c r="O92" s="124"/>
      <c r="P92" s="124"/>
      <c r="BJ92" s="55"/>
      <c r="BK92" s="55"/>
      <c r="BL92" s="130"/>
      <c r="BM92" s="55"/>
      <c r="BN92" s="55"/>
      <c r="BO92" s="55"/>
      <c r="BP92" s="55"/>
      <c r="BQ92" s="55"/>
      <c r="BR92" s="55"/>
      <c r="BS92" s="55"/>
      <c r="BT92" s="55"/>
      <c r="BU92" s="55"/>
      <c r="BV92" s="55"/>
      <c r="BW92" s="55"/>
      <c r="BX92" s="130"/>
      <c r="BY92" s="55"/>
      <c r="BZ92" s="55"/>
      <c r="CA92" s="55"/>
      <c r="CB92" s="55"/>
      <c r="CC92" s="55"/>
      <c r="CD92" s="55"/>
      <c r="CE92" s="55"/>
      <c r="CF92" s="55"/>
      <c r="CG92" s="55"/>
      <c r="CH92" s="55"/>
      <c r="CI92" s="55"/>
      <c r="CJ92" s="55"/>
      <c r="CK92" s="55"/>
      <c r="CL92" s="55"/>
      <c r="CM92" s="55"/>
      <c r="CN92" s="55"/>
      <c r="CO92" s="55"/>
      <c r="CP92" s="55"/>
      <c r="CQ92" s="55"/>
      <c r="CR92" s="55"/>
      <c r="CS92" s="55"/>
      <c r="CT92" s="55"/>
      <c r="CU92" s="55"/>
      <c r="CV92" s="55"/>
      <c r="CW92" s="55"/>
      <c r="CX92" s="55"/>
      <c r="CY92" s="55"/>
      <c r="CZ92" s="55"/>
      <c r="DA92" s="55"/>
      <c r="DB92" s="55"/>
      <c r="DC92" s="55"/>
      <c r="DD92" s="55"/>
      <c r="DE92" s="55"/>
      <c r="DF92" s="55"/>
      <c r="DG92" s="55"/>
      <c r="DH92" s="55"/>
      <c r="DI92" s="55"/>
      <c r="DJ92" s="130"/>
      <c r="DK92" s="55"/>
      <c r="DL92" s="55"/>
      <c r="DM92" s="55"/>
      <c r="DN92" s="55"/>
      <c r="DO92" s="130"/>
      <c r="DP92" s="55"/>
      <c r="DQ92" s="55"/>
      <c r="DR92" s="55"/>
      <c r="DS92" s="55"/>
      <c r="DT92" s="55"/>
      <c r="DU92" s="55"/>
      <c r="DV92" s="55"/>
      <c r="DW92" s="55"/>
      <c r="DX92" s="55"/>
      <c r="DY92" s="55"/>
      <c r="DZ92" s="55"/>
      <c r="EA92" s="130"/>
      <c r="EB92" s="55"/>
      <c r="EC92" s="55"/>
      <c r="ED92" s="55"/>
      <c r="EE92" s="55"/>
      <c r="EF92" s="55"/>
      <c r="EG92" s="55"/>
      <c r="EH92" s="55"/>
      <c r="EI92" s="55"/>
      <c r="EJ92" s="55"/>
      <c r="EK92" s="55"/>
      <c r="EL92" s="55"/>
      <c r="EM92" s="55"/>
      <c r="EN92" s="55"/>
      <c r="EO92" s="55"/>
      <c r="EP92" s="55"/>
      <c r="EQ92" s="55"/>
      <c r="ER92" s="55"/>
      <c r="ES92" s="55"/>
      <c r="ET92" s="55"/>
      <c r="EU92" s="55"/>
      <c r="EV92" s="55"/>
      <c r="EW92" s="55"/>
      <c r="EX92" s="55"/>
      <c r="EY92" s="55"/>
      <c r="EZ92" s="55"/>
      <c r="FA92" s="55"/>
      <c r="FB92" s="55"/>
      <c r="FC92" s="55"/>
      <c r="FD92" s="55"/>
      <c r="FE92" s="130"/>
    </row>
    <row r="93" spans="1:161" ht="17.25" customHeight="1" x14ac:dyDescent="0.2">
      <c r="A93" s="124"/>
      <c r="B93" s="124"/>
      <c r="C93" s="124"/>
      <c r="D93" s="124"/>
      <c r="E93" s="124"/>
      <c r="F93" s="124"/>
      <c r="G93" s="124"/>
      <c r="H93" s="124"/>
      <c r="I93" s="124"/>
      <c r="J93" s="124"/>
      <c r="K93" s="124"/>
      <c r="L93" s="124"/>
      <c r="M93" s="124"/>
      <c r="N93" s="124"/>
      <c r="O93" s="124"/>
      <c r="P93" s="124"/>
      <c r="BJ93" s="55"/>
      <c r="BK93" s="55"/>
      <c r="BL93" s="130"/>
      <c r="BM93" s="55"/>
      <c r="BN93" s="55"/>
      <c r="BO93" s="55"/>
      <c r="BP93" s="55"/>
      <c r="BQ93" s="55"/>
      <c r="BR93" s="55"/>
      <c r="BS93" s="55"/>
      <c r="BT93" s="55"/>
      <c r="BU93" s="55"/>
      <c r="BV93" s="55"/>
      <c r="BW93" s="55"/>
      <c r="BX93" s="130"/>
      <c r="BY93" s="55"/>
      <c r="BZ93" s="55"/>
      <c r="CA93" s="55"/>
      <c r="CB93" s="55"/>
      <c r="CC93" s="55"/>
      <c r="CD93" s="55"/>
      <c r="CE93" s="55"/>
      <c r="CF93" s="55"/>
      <c r="CG93" s="55"/>
      <c r="CH93" s="55"/>
      <c r="CI93" s="55"/>
      <c r="CJ93" s="55"/>
      <c r="CK93" s="55"/>
      <c r="CL93" s="55"/>
      <c r="CM93" s="55"/>
      <c r="CN93" s="55"/>
      <c r="CO93" s="55"/>
      <c r="CP93" s="55"/>
      <c r="CQ93" s="55"/>
      <c r="CR93" s="55"/>
      <c r="CS93" s="55"/>
      <c r="CT93" s="55"/>
      <c r="CU93" s="55"/>
      <c r="CV93" s="55"/>
      <c r="CW93" s="55"/>
      <c r="CX93" s="55"/>
      <c r="CY93" s="55"/>
      <c r="CZ93" s="55"/>
      <c r="DA93" s="55"/>
      <c r="DB93" s="55"/>
      <c r="DC93" s="55"/>
      <c r="DD93" s="55"/>
      <c r="DE93" s="55"/>
      <c r="DF93" s="55"/>
      <c r="DG93" s="55"/>
      <c r="DH93" s="55"/>
      <c r="DI93" s="55"/>
      <c r="DJ93" s="130"/>
      <c r="DK93" s="55"/>
      <c r="DL93" s="55"/>
      <c r="DM93" s="55"/>
      <c r="DN93" s="55"/>
      <c r="DO93" s="130"/>
      <c r="DP93" s="55"/>
      <c r="DQ93" s="55"/>
      <c r="DR93" s="55"/>
      <c r="DS93" s="55"/>
      <c r="DT93" s="55"/>
      <c r="DU93" s="55"/>
      <c r="DV93" s="55"/>
      <c r="DW93" s="55"/>
      <c r="DX93" s="55"/>
      <c r="DY93" s="55"/>
      <c r="DZ93" s="55"/>
      <c r="EA93" s="130"/>
      <c r="EB93" s="55"/>
      <c r="EC93" s="55"/>
      <c r="ED93" s="55"/>
      <c r="EE93" s="55"/>
      <c r="EF93" s="55"/>
      <c r="EG93" s="55"/>
      <c r="EH93" s="55"/>
      <c r="EI93" s="55"/>
      <c r="EJ93" s="55"/>
      <c r="EK93" s="55"/>
      <c r="EL93" s="55"/>
      <c r="EM93" s="55"/>
      <c r="EN93" s="55"/>
      <c r="EO93" s="55"/>
      <c r="EP93" s="55"/>
      <c r="EQ93" s="55"/>
      <c r="ER93" s="55"/>
      <c r="ES93" s="55"/>
      <c r="ET93" s="55"/>
      <c r="EU93" s="55"/>
      <c r="EV93" s="55"/>
      <c r="EW93" s="55"/>
      <c r="EX93" s="55"/>
      <c r="EY93" s="55"/>
      <c r="EZ93" s="55"/>
      <c r="FA93" s="55"/>
      <c r="FB93" s="55"/>
      <c r="FC93" s="55"/>
      <c r="FD93" s="55"/>
      <c r="FE93" s="130"/>
    </row>
    <row r="94" spans="1:161" ht="17.25" customHeight="1" x14ac:dyDescent="0.2">
      <c r="A94" s="124"/>
      <c r="B94" s="124"/>
      <c r="C94" s="124"/>
      <c r="D94" s="124"/>
      <c r="E94" s="124"/>
      <c r="F94" s="124"/>
      <c r="G94" s="124"/>
      <c r="H94" s="124"/>
      <c r="I94" s="124"/>
      <c r="J94" s="124"/>
      <c r="K94" s="124"/>
      <c r="L94" s="124"/>
      <c r="M94" s="124"/>
      <c r="N94" s="124"/>
      <c r="O94" s="124"/>
      <c r="P94" s="124"/>
      <c r="BJ94" s="55"/>
      <c r="BK94" s="55"/>
      <c r="BL94" s="130"/>
      <c r="BM94" s="55"/>
      <c r="BN94" s="55"/>
      <c r="BO94" s="55"/>
      <c r="BP94" s="55"/>
      <c r="BQ94" s="55"/>
      <c r="BR94" s="55"/>
      <c r="BS94" s="55"/>
      <c r="BT94" s="55"/>
      <c r="BU94" s="55"/>
      <c r="BV94" s="55"/>
      <c r="BW94" s="55"/>
      <c r="BX94" s="130"/>
      <c r="BY94" s="55"/>
      <c r="BZ94" s="55"/>
      <c r="CA94" s="55"/>
      <c r="CB94" s="55"/>
      <c r="CC94" s="55"/>
      <c r="CD94" s="55"/>
      <c r="CE94" s="55"/>
      <c r="CF94" s="55"/>
      <c r="CG94" s="55"/>
      <c r="CH94" s="55"/>
      <c r="CI94" s="55"/>
      <c r="CJ94" s="55"/>
      <c r="CK94" s="55"/>
      <c r="CL94" s="55"/>
      <c r="CM94" s="55"/>
      <c r="CN94" s="55"/>
      <c r="CO94" s="55"/>
      <c r="CP94" s="55"/>
      <c r="CQ94" s="55"/>
      <c r="CR94" s="55"/>
      <c r="CS94" s="55"/>
      <c r="CT94" s="55"/>
      <c r="CU94" s="55"/>
      <c r="CV94" s="55"/>
      <c r="CW94" s="55"/>
      <c r="CX94" s="55"/>
      <c r="CY94" s="55"/>
      <c r="CZ94" s="55"/>
      <c r="DA94" s="55"/>
      <c r="DB94" s="55"/>
      <c r="DC94" s="55"/>
      <c r="DD94" s="55"/>
      <c r="DE94" s="55"/>
      <c r="DF94" s="55"/>
      <c r="DG94" s="55"/>
      <c r="DH94" s="55"/>
      <c r="DI94" s="55"/>
      <c r="DJ94" s="130"/>
      <c r="DK94" s="55"/>
      <c r="DL94" s="55"/>
      <c r="DM94" s="55"/>
      <c r="DN94" s="55"/>
      <c r="DO94" s="130"/>
      <c r="DP94" s="55"/>
      <c r="DQ94" s="55"/>
      <c r="DR94" s="55"/>
      <c r="DS94" s="55"/>
      <c r="DT94" s="55"/>
      <c r="DU94" s="55"/>
      <c r="DV94" s="55"/>
      <c r="DW94" s="55"/>
      <c r="DX94" s="55"/>
      <c r="DY94" s="55"/>
      <c r="DZ94" s="55"/>
      <c r="EA94" s="130"/>
      <c r="EB94" s="55"/>
      <c r="EC94" s="55"/>
      <c r="ED94" s="55"/>
      <c r="EE94" s="55"/>
      <c r="EF94" s="55"/>
      <c r="EG94" s="55"/>
      <c r="EH94" s="55"/>
      <c r="EI94" s="55"/>
      <c r="EJ94" s="55"/>
      <c r="EK94" s="55"/>
      <c r="EL94" s="55"/>
      <c r="EM94" s="55"/>
      <c r="EN94" s="55"/>
      <c r="EO94" s="55"/>
      <c r="EP94" s="55"/>
      <c r="EQ94" s="55"/>
      <c r="ER94" s="55"/>
      <c r="ES94" s="55"/>
      <c r="ET94" s="55"/>
      <c r="EU94" s="55"/>
      <c r="EV94" s="55"/>
      <c r="EW94" s="55"/>
      <c r="EX94" s="55"/>
      <c r="EY94" s="55"/>
      <c r="EZ94" s="55"/>
      <c r="FA94" s="55"/>
      <c r="FB94" s="55"/>
      <c r="FC94" s="55"/>
      <c r="FD94" s="55"/>
      <c r="FE94" s="130"/>
    </row>
    <row r="95" spans="1:161" ht="17.25" customHeight="1" x14ac:dyDescent="0.2">
      <c r="A95" s="124"/>
      <c r="B95" s="124"/>
      <c r="C95" s="124"/>
      <c r="D95" s="124"/>
      <c r="E95" s="124"/>
      <c r="F95" s="124"/>
      <c r="G95" s="124"/>
      <c r="H95" s="124"/>
      <c r="I95" s="124"/>
      <c r="J95" s="124"/>
      <c r="K95" s="124"/>
      <c r="L95" s="124"/>
      <c r="M95" s="124"/>
      <c r="N95" s="124"/>
      <c r="O95" s="124"/>
      <c r="P95" s="124"/>
      <c r="BJ95" s="55"/>
      <c r="BK95" s="55"/>
      <c r="BL95" s="130"/>
      <c r="BM95" s="55"/>
      <c r="BN95" s="55"/>
      <c r="BO95" s="55"/>
      <c r="BP95" s="55"/>
      <c r="BQ95" s="55"/>
      <c r="BR95" s="55"/>
      <c r="BS95" s="55"/>
      <c r="BT95" s="55"/>
      <c r="BU95" s="55"/>
      <c r="BV95" s="55"/>
      <c r="BW95" s="55"/>
      <c r="BX95" s="130"/>
      <c r="BY95" s="55"/>
      <c r="BZ95" s="55"/>
      <c r="CA95" s="55"/>
      <c r="CB95" s="55"/>
      <c r="CC95" s="55"/>
      <c r="CD95" s="55"/>
      <c r="CE95" s="55"/>
      <c r="CF95" s="55"/>
      <c r="CG95" s="55"/>
      <c r="CH95" s="55"/>
      <c r="CI95" s="55"/>
      <c r="CJ95" s="55"/>
      <c r="CK95" s="55"/>
      <c r="CL95" s="55"/>
      <c r="CM95" s="55"/>
      <c r="CN95" s="55"/>
      <c r="CO95" s="55"/>
      <c r="CP95" s="55"/>
      <c r="CQ95" s="55"/>
      <c r="CR95" s="55"/>
      <c r="CS95" s="55"/>
      <c r="CT95" s="55"/>
      <c r="CU95" s="55"/>
      <c r="CV95" s="55"/>
      <c r="CW95" s="55"/>
      <c r="CX95" s="55"/>
      <c r="CY95" s="55"/>
      <c r="CZ95" s="55"/>
      <c r="DA95" s="55"/>
      <c r="DB95" s="55"/>
      <c r="DC95" s="55"/>
      <c r="DD95" s="55"/>
      <c r="DE95" s="55"/>
      <c r="DF95" s="55"/>
      <c r="DG95" s="55"/>
      <c r="DH95" s="55"/>
      <c r="DI95" s="55"/>
      <c r="DJ95" s="130"/>
      <c r="DK95" s="55"/>
      <c r="DL95" s="55"/>
      <c r="DM95" s="55"/>
      <c r="DN95" s="55"/>
      <c r="DO95" s="130"/>
      <c r="DP95" s="55"/>
      <c r="DQ95" s="55"/>
      <c r="DR95" s="55"/>
      <c r="DS95" s="55"/>
      <c r="DT95" s="55"/>
      <c r="DU95" s="55"/>
      <c r="DV95" s="55"/>
      <c r="DW95" s="55"/>
      <c r="DX95" s="55"/>
      <c r="DY95" s="55"/>
      <c r="DZ95" s="55"/>
      <c r="EA95" s="130"/>
      <c r="EB95" s="55"/>
      <c r="EC95" s="55"/>
      <c r="ED95" s="55"/>
      <c r="EE95" s="55"/>
      <c r="EF95" s="55"/>
      <c r="EG95" s="55"/>
      <c r="EH95" s="55"/>
      <c r="EI95" s="55"/>
      <c r="EJ95" s="55"/>
      <c r="EK95" s="55"/>
      <c r="EL95" s="55"/>
      <c r="EM95" s="55"/>
      <c r="EN95" s="55"/>
      <c r="EO95" s="55"/>
      <c r="EP95" s="55"/>
      <c r="EQ95" s="55"/>
      <c r="ER95" s="55"/>
      <c r="ES95" s="55"/>
      <c r="ET95" s="55"/>
      <c r="EU95" s="55"/>
      <c r="EV95" s="55"/>
      <c r="EW95" s="55"/>
      <c r="EX95" s="55"/>
      <c r="EY95" s="55"/>
      <c r="EZ95" s="55"/>
      <c r="FA95" s="55"/>
      <c r="FB95" s="55"/>
      <c r="FC95" s="55"/>
      <c r="FD95" s="55"/>
      <c r="FE95" s="130"/>
    </row>
    <row r="96" spans="1:161" ht="17.25" customHeight="1" x14ac:dyDescent="0.2">
      <c r="A96" s="124"/>
      <c r="B96" s="124"/>
      <c r="C96" s="124"/>
      <c r="D96" s="124"/>
      <c r="E96" s="124"/>
      <c r="F96" s="124"/>
      <c r="G96" s="124"/>
      <c r="H96" s="124"/>
      <c r="I96" s="124"/>
      <c r="J96" s="124"/>
      <c r="K96" s="124"/>
      <c r="L96" s="124"/>
      <c r="M96" s="124"/>
      <c r="N96" s="124"/>
      <c r="O96" s="124"/>
      <c r="P96" s="124"/>
      <c r="BJ96" s="55"/>
      <c r="BK96" s="55"/>
      <c r="BL96" s="130"/>
      <c r="BM96" s="55"/>
      <c r="BN96" s="55"/>
      <c r="BO96" s="55"/>
      <c r="BP96" s="55"/>
      <c r="BQ96" s="55"/>
      <c r="BR96" s="55"/>
      <c r="BS96" s="55"/>
      <c r="BT96" s="55"/>
      <c r="BU96" s="55"/>
      <c r="BV96" s="55"/>
      <c r="BW96" s="55"/>
      <c r="BX96" s="130"/>
      <c r="BY96" s="55"/>
      <c r="BZ96" s="55"/>
      <c r="CA96" s="55"/>
      <c r="CB96" s="55"/>
      <c r="CC96" s="55"/>
      <c r="CD96" s="55"/>
      <c r="CE96" s="55"/>
      <c r="CF96" s="55"/>
      <c r="CG96" s="55"/>
      <c r="CH96" s="55"/>
      <c r="CI96" s="55"/>
      <c r="CJ96" s="55"/>
      <c r="CK96" s="55"/>
      <c r="CL96" s="55"/>
      <c r="CM96" s="55"/>
      <c r="CN96" s="55"/>
      <c r="CO96" s="55"/>
      <c r="CP96" s="55"/>
      <c r="CQ96" s="55"/>
      <c r="CR96" s="55"/>
      <c r="CS96" s="55"/>
      <c r="CT96" s="55"/>
      <c r="CU96" s="55"/>
      <c r="CV96" s="55"/>
      <c r="CW96" s="55"/>
      <c r="CX96" s="55"/>
      <c r="CY96" s="55"/>
      <c r="CZ96" s="55"/>
      <c r="DA96" s="55"/>
      <c r="DB96" s="55"/>
      <c r="DC96" s="55"/>
      <c r="DD96" s="55"/>
      <c r="DE96" s="55"/>
      <c r="DF96" s="55"/>
      <c r="DG96" s="55"/>
      <c r="DH96" s="55"/>
      <c r="DI96" s="55"/>
      <c r="DJ96" s="130"/>
      <c r="DK96" s="55"/>
      <c r="DL96" s="55"/>
      <c r="DM96" s="55"/>
      <c r="DN96" s="55"/>
      <c r="DO96" s="130"/>
      <c r="DP96" s="55"/>
      <c r="DQ96" s="55"/>
      <c r="DR96" s="55"/>
      <c r="DS96" s="55"/>
      <c r="DT96" s="55"/>
      <c r="DU96" s="55"/>
      <c r="DV96" s="55"/>
      <c r="DW96" s="55"/>
      <c r="DX96" s="55"/>
      <c r="DY96" s="55"/>
      <c r="DZ96" s="55"/>
      <c r="EA96" s="130"/>
      <c r="EB96" s="55"/>
      <c r="EC96" s="55"/>
      <c r="ED96" s="55"/>
      <c r="EE96" s="55"/>
      <c r="EF96" s="55"/>
      <c r="EG96" s="55"/>
      <c r="EH96" s="55"/>
      <c r="EI96" s="55"/>
      <c r="EJ96" s="55"/>
      <c r="EK96" s="55"/>
      <c r="EL96" s="55"/>
      <c r="EM96" s="55"/>
      <c r="EN96" s="55"/>
      <c r="EO96" s="55"/>
      <c r="EP96" s="55"/>
      <c r="EQ96" s="55"/>
      <c r="ER96" s="55"/>
      <c r="ES96" s="55"/>
      <c r="ET96" s="55"/>
      <c r="EU96" s="55"/>
      <c r="EV96" s="55"/>
      <c r="EW96" s="55"/>
      <c r="EX96" s="55"/>
      <c r="EY96" s="55"/>
      <c r="EZ96" s="55"/>
      <c r="FA96" s="55"/>
      <c r="FB96" s="55"/>
      <c r="FC96" s="55"/>
      <c r="FD96" s="55"/>
      <c r="FE96" s="130"/>
    </row>
    <row r="97" spans="1:161" ht="17.25" customHeight="1" x14ac:dyDescent="0.2">
      <c r="A97" s="124"/>
      <c r="B97" s="124"/>
      <c r="C97" s="124"/>
      <c r="D97" s="124"/>
      <c r="E97" s="124"/>
      <c r="F97" s="124"/>
      <c r="G97" s="124"/>
      <c r="H97" s="124"/>
      <c r="I97" s="124"/>
      <c r="J97" s="124"/>
      <c r="K97" s="124"/>
      <c r="L97" s="124"/>
      <c r="M97" s="124"/>
      <c r="N97" s="124"/>
      <c r="O97" s="124"/>
      <c r="P97" s="124"/>
      <c r="BJ97" s="55"/>
      <c r="BK97" s="55"/>
      <c r="BL97" s="130"/>
      <c r="BM97" s="55"/>
      <c r="BN97" s="55"/>
      <c r="BO97" s="55"/>
      <c r="BP97" s="55"/>
      <c r="BQ97" s="55"/>
      <c r="BR97" s="55"/>
      <c r="BS97" s="55"/>
      <c r="BT97" s="55"/>
      <c r="BU97" s="55"/>
      <c r="BV97" s="55"/>
      <c r="BW97" s="55"/>
      <c r="BX97" s="130"/>
      <c r="BY97" s="55"/>
      <c r="BZ97" s="55"/>
      <c r="CA97" s="55"/>
      <c r="CB97" s="55"/>
      <c r="CC97" s="55"/>
      <c r="CD97" s="55"/>
      <c r="CE97" s="55"/>
      <c r="CF97" s="55"/>
      <c r="CG97" s="55"/>
      <c r="CH97" s="55"/>
      <c r="CI97" s="55"/>
      <c r="CJ97" s="55"/>
      <c r="CK97" s="55"/>
      <c r="CL97" s="55"/>
      <c r="CM97" s="55"/>
      <c r="CN97" s="55"/>
      <c r="CO97" s="55"/>
      <c r="CP97" s="55"/>
      <c r="CQ97" s="55"/>
      <c r="CR97" s="55"/>
      <c r="CS97" s="55"/>
      <c r="CT97" s="55"/>
      <c r="CU97" s="55"/>
      <c r="CV97" s="55"/>
      <c r="CW97" s="55"/>
      <c r="CX97" s="55"/>
      <c r="CY97" s="55"/>
      <c r="CZ97" s="55"/>
      <c r="DA97" s="55"/>
      <c r="DB97" s="55"/>
      <c r="DC97" s="55"/>
      <c r="DD97" s="55"/>
      <c r="DE97" s="55"/>
      <c r="DF97" s="55"/>
      <c r="DG97" s="55"/>
      <c r="DH97" s="55"/>
      <c r="DI97" s="55"/>
      <c r="DJ97" s="130"/>
      <c r="DK97" s="55"/>
      <c r="DL97" s="55"/>
      <c r="DM97" s="55"/>
      <c r="DN97" s="55"/>
      <c r="DO97" s="130"/>
      <c r="DP97" s="55"/>
      <c r="DQ97" s="55"/>
      <c r="DR97" s="55"/>
      <c r="DS97" s="55"/>
      <c r="DT97" s="55"/>
      <c r="DU97" s="55"/>
      <c r="DV97" s="55"/>
      <c r="DW97" s="55"/>
      <c r="DX97" s="55"/>
      <c r="DY97" s="55"/>
      <c r="DZ97" s="55"/>
      <c r="EA97" s="130"/>
      <c r="EB97" s="55"/>
      <c r="EC97" s="55"/>
      <c r="ED97" s="55"/>
      <c r="EE97" s="55"/>
      <c r="EF97" s="55"/>
      <c r="EG97" s="55"/>
      <c r="EH97" s="55"/>
      <c r="EI97" s="55"/>
      <c r="EJ97" s="55"/>
      <c r="EK97" s="55"/>
      <c r="EL97" s="55"/>
      <c r="EM97" s="55"/>
      <c r="EN97" s="55"/>
      <c r="EO97" s="55"/>
      <c r="EP97" s="55"/>
      <c r="EQ97" s="55"/>
      <c r="ER97" s="55"/>
      <c r="ES97" s="55"/>
      <c r="ET97" s="55"/>
      <c r="EU97" s="55"/>
      <c r="EV97" s="55"/>
      <c r="EW97" s="55"/>
      <c r="EX97" s="55"/>
      <c r="EY97" s="55"/>
      <c r="EZ97" s="55"/>
      <c r="FA97" s="55"/>
      <c r="FB97" s="55"/>
      <c r="FC97" s="55"/>
      <c r="FD97" s="55"/>
      <c r="FE97" s="130"/>
    </row>
    <row r="98" spans="1:161" ht="17.25" customHeight="1" x14ac:dyDescent="0.2">
      <c r="A98" s="124"/>
      <c r="B98" s="124"/>
      <c r="C98" s="124"/>
      <c r="D98" s="124"/>
      <c r="E98" s="124"/>
      <c r="F98" s="124"/>
      <c r="G98" s="124"/>
      <c r="H98" s="124"/>
      <c r="I98" s="124"/>
      <c r="J98" s="124"/>
      <c r="K98" s="124"/>
      <c r="L98" s="124"/>
      <c r="M98" s="124"/>
      <c r="N98" s="124"/>
      <c r="O98" s="124"/>
      <c r="P98" s="124"/>
      <c r="BJ98" s="55"/>
      <c r="BK98" s="55"/>
      <c r="BL98" s="130"/>
      <c r="BM98" s="55"/>
      <c r="BN98" s="55"/>
      <c r="BO98" s="55"/>
      <c r="BP98" s="55"/>
      <c r="BQ98" s="55"/>
      <c r="BR98" s="55"/>
      <c r="BS98" s="55"/>
      <c r="BT98" s="55"/>
      <c r="BU98" s="55"/>
      <c r="BV98" s="55"/>
      <c r="BW98" s="55"/>
      <c r="BX98" s="130"/>
      <c r="BY98" s="55"/>
      <c r="BZ98" s="55"/>
      <c r="CA98" s="55"/>
      <c r="CB98" s="55"/>
      <c r="CC98" s="55"/>
      <c r="CD98" s="55"/>
      <c r="CE98" s="55"/>
      <c r="CF98" s="55"/>
      <c r="CG98" s="55"/>
      <c r="CH98" s="55"/>
      <c r="CI98" s="55"/>
      <c r="CJ98" s="55"/>
      <c r="CK98" s="55"/>
      <c r="CL98" s="55"/>
      <c r="CM98" s="55"/>
      <c r="CN98" s="55"/>
      <c r="CO98" s="55"/>
      <c r="CP98" s="55"/>
      <c r="CQ98" s="55"/>
      <c r="CR98" s="55"/>
      <c r="CS98" s="55"/>
      <c r="CT98" s="55"/>
      <c r="CU98" s="55"/>
      <c r="CV98" s="55"/>
      <c r="CW98" s="55"/>
      <c r="CX98" s="55"/>
      <c r="CY98" s="55"/>
      <c r="CZ98" s="55"/>
      <c r="DA98" s="55"/>
      <c r="DB98" s="55"/>
      <c r="DC98" s="55"/>
      <c r="DD98" s="55"/>
      <c r="DE98" s="55"/>
      <c r="DF98" s="55"/>
      <c r="DG98" s="55"/>
      <c r="DH98" s="55"/>
      <c r="DI98" s="55"/>
      <c r="DJ98" s="130"/>
      <c r="DK98" s="55"/>
      <c r="DL98" s="55"/>
      <c r="DM98" s="55"/>
      <c r="DN98" s="55"/>
      <c r="DO98" s="130"/>
      <c r="DP98" s="55"/>
      <c r="DQ98" s="55"/>
      <c r="DR98" s="55"/>
      <c r="DS98" s="55"/>
      <c r="DT98" s="55"/>
      <c r="DU98" s="55"/>
      <c r="DV98" s="55"/>
      <c r="DW98" s="55"/>
      <c r="DX98" s="55"/>
      <c r="DY98" s="55"/>
      <c r="DZ98" s="55"/>
      <c r="EA98" s="130"/>
      <c r="EB98" s="55"/>
      <c r="EC98" s="55"/>
      <c r="ED98" s="55"/>
      <c r="EE98" s="55"/>
      <c r="EF98" s="55"/>
      <c r="EG98" s="55"/>
      <c r="EH98" s="55"/>
      <c r="EI98" s="55"/>
      <c r="EJ98" s="55"/>
      <c r="EK98" s="55"/>
      <c r="EL98" s="55"/>
      <c r="EM98" s="55"/>
      <c r="EN98" s="55"/>
      <c r="EO98" s="55"/>
      <c r="EP98" s="55"/>
      <c r="EQ98" s="55"/>
      <c r="ER98" s="55"/>
      <c r="ES98" s="55"/>
      <c r="ET98" s="55"/>
      <c r="EU98" s="55"/>
      <c r="EV98" s="55"/>
      <c r="EW98" s="55"/>
      <c r="EX98" s="55"/>
      <c r="EY98" s="55"/>
      <c r="EZ98" s="55"/>
      <c r="FA98" s="55"/>
      <c r="FB98" s="55"/>
      <c r="FC98" s="55"/>
      <c r="FD98" s="55"/>
      <c r="FE98" s="130"/>
    </row>
    <row r="99" spans="1:161" ht="17.25" customHeight="1" x14ac:dyDescent="0.2">
      <c r="A99" s="124"/>
      <c r="B99" s="124"/>
      <c r="C99" s="124"/>
      <c r="D99" s="124"/>
      <c r="E99" s="124"/>
      <c r="F99" s="124"/>
      <c r="G99" s="124"/>
      <c r="H99" s="124"/>
      <c r="I99" s="124"/>
      <c r="J99" s="124"/>
      <c r="K99" s="124"/>
      <c r="L99" s="124"/>
      <c r="M99" s="124"/>
      <c r="N99" s="124"/>
      <c r="O99" s="124"/>
      <c r="P99" s="124"/>
      <c r="BJ99" s="55"/>
      <c r="BK99" s="55"/>
      <c r="BL99" s="130"/>
      <c r="BM99" s="55"/>
      <c r="BN99" s="55"/>
      <c r="BO99" s="55"/>
      <c r="BP99" s="55"/>
      <c r="BQ99" s="55"/>
      <c r="BR99" s="55"/>
      <c r="BS99" s="55"/>
      <c r="BT99" s="55"/>
      <c r="BU99" s="55"/>
      <c r="BV99" s="55"/>
      <c r="BW99" s="55"/>
      <c r="BX99" s="130"/>
      <c r="BY99" s="55"/>
      <c r="BZ99" s="55"/>
      <c r="CA99" s="55"/>
      <c r="CB99" s="55"/>
      <c r="CC99" s="55"/>
      <c r="CD99" s="55"/>
      <c r="CE99" s="55"/>
      <c r="CF99" s="55"/>
      <c r="CG99" s="55"/>
      <c r="CH99" s="55"/>
      <c r="CI99" s="55"/>
      <c r="CJ99" s="55"/>
      <c r="CK99" s="55"/>
      <c r="CL99" s="55"/>
      <c r="CM99" s="55"/>
      <c r="CN99" s="55"/>
      <c r="CO99" s="55"/>
      <c r="CP99" s="55"/>
      <c r="CQ99" s="55"/>
      <c r="CR99" s="55"/>
      <c r="CS99" s="55"/>
      <c r="CT99" s="55"/>
      <c r="CU99" s="55"/>
      <c r="CV99" s="55"/>
      <c r="CW99" s="55"/>
      <c r="CX99" s="55"/>
      <c r="CY99" s="55"/>
      <c r="CZ99" s="55"/>
      <c r="DA99" s="55"/>
      <c r="DB99" s="55"/>
      <c r="DC99" s="55"/>
      <c r="DD99" s="55"/>
      <c r="DE99" s="55"/>
      <c r="DF99" s="55"/>
      <c r="DG99" s="55"/>
      <c r="DH99" s="55"/>
      <c r="DI99" s="55"/>
      <c r="DJ99" s="130"/>
      <c r="DK99" s="55"/>
      <c r="DL99" s="55"/>
      <c r="DM99" s="55"/>
      <c r="DN99" s="55"/>
      <c r="DO99" s="130"/>
      <c r="DP99" s="55"/>
      <c r="DQ99" s="55"/>
      <c r="DR99" s="55"/>
      <c r="DS99" s="55"/>
      <c r="DT99" s="55"/>
      <c r="DU99" s="55"/>
      <c r="DV99" s="55"/>
      <c r="DW99" s="55"/>
      <c r="DX99" s="55"/>
      <c r="DY99" s="55"/>
      <c r="DZ99" s="55"/>
      <c r="EA99" s="130"/>
      <c r="EB99" s="55"/>
      <c r="EC99" s="55"/>
      <c r="ED99" s="55"/>
      <c r="EE99" s="55"/>
      <c r="EF99" s="55"/>
      <c r="EG99" s="55"/>
      <c r="EH99" s="55"/>
      <c r="EI99" s="55"/>
      <c r="EJ99" s="55"/>
      <c r="EK99" s="55"/>
      <c r="EL99" s="55"/>
      <c r="EM99" s="55"/>
      <c r="EN99" s="55"/>
      <c r="EO99" s="55"/>
      <c r="EP99" s="55"/>
      <c r="EQ99" s="55"/>
      <c r="ER99" s="55"/>
      <c r="ES99" s="55"/>
      <c r="ET99" s="55"/>
      <c r="EU99" s="55"/>
      <c r="EV99" s="55"/>
      <c r="EW99" s="55"/>
      <c r="EX99" s="55"/>
      <c r="EY99" s="55"/>
      <c r="EZ99" s="55"/>
      <c r="FA99" s="55"/>
      <c r="FB99" s="55"/>
      <c r="FC99" s="55"/>
      <c r="FD99" s="55"/>
      <c r="FE99" s="130"/>
    </row>
    <row r="100" spans="1:161" ht="44.25" customHeight="1" x14ac:dyDescent="0.45">
      <c r="A100" s="150"/>
      <c r="B100" s="150"/>
      <c r="C100" s="150"/>
      <c r="D100" s="150"/>
      <c r="E100" s="150"/>
      <c r="F100" s="150"/>
      <c r="G100" s="150"/>
      <c r="H100" s="150"/>
      <c r="I100" s="150"/>
      <c r="J100" s="150"/>
      <c r="K100" s="150"/>
      <c r="L100" s="150"/>
      <c r="M100" s="150"/>
      <c r="N100" s="150"/>
      <c r="O100" s="150"/>
      <c r="P100" s="150"/>
      <c r="Q100" s="150"/>
      <c r="R100" s="150"/>
      <c r="S100" s="150"/>
      <c r="T100" s="150"/>
      <c r="U100" s="150"/>
      <c r="V100" s="150"/>
      <c r="W100" s="150"/>
      <c r="X100" s="150"/>
      <c r="Y100" s="150"/>
      <c r="Z100" s="150"/>
      <c r="AA100" s="150"/>
      <c r="AB100" s="150"/>
      <c r="AC100" s="150"/>
      <c r="AD100" s="150"/>
      <c r="AE100" s="150"/>
      <c r="AF100" s="150"/>
      <c r="AG100" s="150"/>
      <c r="AH100" s="150"/>
      <c r="AI100" s="150"/>
      <c r="AJ100" s="150"/>
      <c r="AK100" s="150"/>
      <c r="AL100" s="150"/>
      <c r="AM100" s="150"/>
      <c r="AN100" s="150"/>
      <c r="AO100" s="150"/>
      <c r="AP100" s="150"/>
      <c r="AQ100" s="150"/>
      <c r="AR100" s="150"/>
      <c r="AS100" s="150"/>
      <c r="AT100" s="150"/>
      <c r="AU100" s="150"/>
      <c r="AV100" s="150"/>
      <c r="AW100" s="150"/>
      <c r="AX100" s="150"/>
      <c r="AY100" s="150"/>
      <c r="AZ100" s="150"/>
      <c r="BA100" s="150"/>
      <c r="BB100" s="150"/>
      <c r="BC100" s="150"/>
      <c r="BD100" s="150"/>
      <c r="BE100" s="150"/>
      <c r="BF100" s="150"/>
      <c r="BG100" s="150"/>
      <c r="BH100" s="150"/>
      <c r="BI100" s="150"/>
      <c r="BJ100" s="142"/>
      <c r="BK100" s="142"/>
      <c r="BL100" s="143"/>
      <c r="BM100" s="142"/>
      <c r="BN100" s="142"/>
      <c r="BO100" s="142"/>
      <c r="BP100" s="142"/>
      <c r="BQ100" s="142"/>
      <c r="BR100" s="142"/>
      <c r="BS100" s="142"/>
      <c r="BT100" s="142"/>
      <c r="BU100" s="142"/>
      <c r="BV100" s="142"/>
      <c r="BW100" s="142"/>
      <c r="BX100" s="143"/>
      <c r="BY100" s="142"/>
      <c r="BZ100" s="142"/>
      <c r="CA100" s="141" t="s">
        <v>132</v>
      </c>
      <c r="CB100" s="141"/>
      <c r="CC100" s="141"/>
      <c r="CD100" s="141"/>
      <c r="CE100" s="141"/>
      <c r="CF100" s="141"/>
      <c r="CG100" s="141"/>
      <c r="CH100" s="142"/>
      <c r="CI100" s="141" t="s">
        <v>133</v>
      </c>
      <c r="CJ100" s="141"/>
      <c r="CK100" s="141"/>
      <c r="CL100" s="141"/>
      <c r="CM100" s="141"/>
      <c r="CN100" s="141"/>
      <c r="CO100" s="141"/>
      <c r="CP100" s="142"/>
      <c r="CQ100" s="141" t="s">
        <v>134</v>
      </c>
      <c r="CR100" s="141"/>
      <c r="CS100" s="141"/>
      <c r="CT100" s="141"/>
      <c r="CU100" s="141"/>
      <c r="CV100" s="141"/>
      <c r="CW100" s="141"/>
      <c r="CX100" s="142"/>
      <c r="CY100" s="141" t="s">
        <v>137</v>
      </c>
      <c r="CZ100" s="141"/>
      <c r="DA100" s="141"/>
      <c r="DB100" s="141"/>
      <c r="DC100" s="141"/>
      <c r="DD100" s="141"/>
      <c r="DE100" s="141"/>
      <c r="DF100" s="142"/>
      <c r="DG100" s="142"/>
      <c r="DH100" s="142"/>
      <c r="DI100" s="142"/>
      <c r="DJ100" s="143"/>
      <c r="DK100" s="142"/>
      <c r="DL100" s="142"/>
      <c r="DM100" s="142"/>
      <c r="DN100" s="142"/>
      <c r="DO100" s="143"/>
      <c r="DP100" s="142"/>
      <c r="DQ100" s="142"/>
      <c r="DR100" s="142"/>
      <c r="DS100" s="142"/>
      <c r="DT100" s="142"/>
      <c r="DU100" s="142"/>
      <c r="DV100" s="142"/>
      <c r="DW100" s="142"/>
      <c r="DX100" s="142"/>
      <c r="DY100" s="142"/>
      <c r="DZ100" s="142"/>
      <c r="EA100" s="143"/>
      <c r="EB100" s="142"/>
      <c r="EC100" s="142"/>
      <c r="ED100" s="141" t="s">
        <v>167</v>
      </c>
      <c r="EE100" s="141"/>
      <c r="EF100" s="141"/>
      <c r="EG100" s="141"/>
      <c r="EH100" s="141"/>
      <c r="EI100" s="141"/>
      <c r="EJ100" s="141"/>
      <c r="EK100" s="142"/>
      <c r="EL100" s="141" t="s">
        <v>168</v>
      </c>
      <c r="EM100" s="141"/>
      <c r="EN100" s="141"/>
      <c r="EO100" s="141"/>
      <c r="EP100" s="141"/>
      <c r="EQ100" s="141"/>
      <c r="ER100" s="141"/>
      <c r="ES100" s="142"/>
      <c r="ET100" s="141" t="s">
        <v>169</v>
      </c>
      <c r="EU100" s="141"/>
      <c r="EV100" s="141"/>
      <c r="EW100" s="141"/>
      <c r="EX100" s="141"/>
      <c r="EY100" s="141"/>
      <c r="EZ100" s="141"/>
      <c r="FA100" s="142"/>
      <c r="FB100" s="142"/>
      <c r="FC100" s="142"/>
      <c r="FD100" s="142"/>
      <c r="FE100" s="130"/>
    </row>
    <row r="101" spans="1:161" ht="17.25" customHeight="1" x14ac:dyDescent="0.2">
      <c r="A101" s="124"/>
      <c r="B101" s="124"/>
      <c r="C101" s="124"/>
      <c r="D101" s="124"/>
      <c r="E101" s="124"/>
      <c r="F101" s="124"/>
      <c r="G101" s="124"/>
      <c r="H101" s="124"/>
      <c r="I101" s="124"/>
      <c r="J101" s="124"/>
      <c r="K101" s="124"/>
      <c r="L101" s="124"/>
      <c r="M101" s="124"/>
      <c r="N101" s="124"/>
      <c r="O101" s="124"/>
      <c r="P101" s="124"/>
      <c r="BJ101" s="55"/>
      <c r="BK101" s="55"/>
      <c r="BL101" s="130"/>
      <c r="BM101" s="55"/>
      <c r="BN101" s="55"/>
      <c r="BO101" s="55"/>
      <c r="BP101" s="55"/>
      <c r="BQ101" s="55"/>
      <c r="BR101" s="55"/>
      <c r="BS101" s="55"/>
      <c r="BT101" s="55"/>
      <c r="BU101" s="55"/>
      <c r="BV101" s="55"/>
      <c r="BW101" s="55"/>
      <c r="BX101" s="130"/>
      <c r="BY101" s="55"/>
      <c r="BZ101" s="55"/>
      <c r="CA101" s="55"/>
      <c r="CB101" s="55"/>
      <c r="CC101" s="55"/>
      <c r="CD101" s="55"/>
      <c r="CE101" s="55"/>
      <c r="CF101" s="55"/>
      <c r="CG101" s="55"/>
      <c r="CH101" s="55"/>
      <c r="CI101" s="55"/>
      <c r="CJ101" s="55"/>
      <c r="CK101" s="55"/>
      <c r="CL101" s="55"/>
      <c r="CM101" s="55"/>
      <c r="CN101" s="55"/>
      <c r="CO101" s="55"/>
      <c r="CP101" s="55"/>
      <c r="CQ101" s="55"/>
      <c r="CR101" s="55"/>
      <c r="CS101" s="55"/>
      <c r="CT101" s="55"/>
      <c r="CU101" s="55"/>
      <c r="CV101" s="55"/>
      <c r="CW101" s="55"/>
      <c r="CX101" s="55"/>
      <c r="CY101" s="55"/>
      <c r="CZ101" s="55"/>
      <c r="DA101" s="55"/>
      <c r="DB101" s="55"/>
      <c r="DC101" s="55"/>
      <c r="DD101" s="55"/>
      <c r="DE101" s="55"/>
      <c r="DF101" s="55"/>
      <c r="DG101" s="55"/>
      <c r="DH101" s="55"/>
      <c r="DI101" s="55"/>
      <c r="DJ101" s="130"/>
      <c r="DK101" s="55"/>
      <c r="DL101" s="55"/>
      <c r="DM101" s="55"/>
      <c r="DN101" s="55"/>
      <c r="DO101" s="130"/>
      <c r="DP101" s="55"/>
      <c r="DQ101" s="55"/>
      <c r="DR101" s="55"/>
      <c r="DS101" s="55"/>
      <c r="DT101" s="55"/>
      <c r="DU101" s="55"/>
      <c r="DV101" s="55"/>
      <c r="DW101" s="55"/>
      <c r="DX101" s="55"/>
      <c r="DY101" s="55"/>
      <c r="DZ101" s="55"/>
      <c r="EA101" s="130"/>
      <c r="EB101" s="55"/>
      <c r="EC101" s="55"/>
      <c r="ED101" s="55"/>
      <c r="EE101" s="55"/>
      <c r="EF101" s="55"/>
      <c r="EG101" s="55"/>
      <c r="EH101" s="55"/>
      <c r="EI101" s="55"/>
      <c r="EJ101" s="55"/>
      <c r="EK101" s="55"/>
      <c r="EL101" s="55"/>
      <c r="EM101" s="55"/>
      <c r="EN101" s="55"/>
      <c r="EO101" s="55"/>
      <c r="EP101" s="55"/>
      <c r="EQ101" s="55"/>
      <c r="ER101" s="55"/>
      <c r="ES101" s="55"/>
      <c r="ET101" s="55"/>
      <c r="EU101" s="55"/>
      <c r="EV101" s="55"/>
      <c r="EW101" s="55"/>
      <c r="EX101" s="55"/>
      <c r="EY101" s="55"/>
      <c r="EZ101" s="55"/>
      <c r="FA101" s="55"/>
      <c r="FB101" s="55"/>
      <c r="FC101" s="55"/>
      <c r="FD101" s="55"/>
      <c r="FE101" s="130"/>
    </row>
    <row r="102" spans="1:161" ht="17.25" customHeight="1" x14ac:dyDescent="0.2">
      <c r="A102" s="124"/>
      <c r="B102" s="124"/>
      <c r="C102" s="124"/>
      <c r="D102" s="124"/>
      <c r="E102" s="124"/>
      <c r="F102" s="124"/>
      <c r="G102" s="124"/>
      <c r="H102" s="124"/>
      <c r="I102" s="124"/>
      <c r="J102" s="124"/>
      <c r="K102" s="124"/>
      <c r="L102" s="124"/>
      <c r="M102" s="124"/>
      <c r="N102" s="124"/>
      <c r="O102" s="124"/>
      <c r="P102" s="124"/>
      <c r="BJ102" s="55"/>
      <c r="BK102" s="55"/>
      <c r="BL102" s="130"/>
      <c r="BM102" s="55"/>
      <c r="BN102" s="55"/>
      <c r="BO102" s="55"/>
      <c r="BP102" s="55"/>
      <c r="BQ102" s="55"/>
      <c r="BR102" s="55"/>
      <c r="BS102" s="55"/>
      <c r="BT102" s="55"/>
      <c r="BU102" s="55"/>
      <c r="BV102" s="55"/>
      <c r="BW102" s="55"/>
      <c r="BX102" s="130"/>
      <c r="BY102" s="55"/>
      <c r="BZ102" s="55"/>
      <c r="CA102" s="54" t="s">
        <v>63</v>
      </c>
      <c r="CB102" s="280" t="s">
        <v>98</v>
      </c>
      <c r="CC102" s="280"/>
      <c r="CD102" s="280"/>
      <c r="CE102" s="280"/>
      <c r="CF102" s="280"/>
      <c r="CG102" s="280"/>
      <c r="CH102" s="55"/>
      <c r="CI102" s="167" t="s">
        <v>189</v>
      </c>
      <c r="CJ102" s="280" t="s">
        <v>98</v>
      </c>
      <c r="CK102" s="280"/>
      <c r="CL102" s="280"/>
      <c r="CM102" s="280"/>
      <c r="CN102" s="280"/>
      <c r="CO102" s="280"/>
      <c r="CP102" s="55"/>
      <c r="CQ102" s="54" t="s">
        <v>63</v>
      </c>
      <c r="CR102" s="271" t="s">
        <v>98</v>
      </c>
      <c r="CS102" s="271"/>
      <c r="CT102" s="271"/>
      <c r="CU102" s="271"/>
      <c r="CV102" s="271"/>
      <c r="CW102" s="271"/>
      <c r="CX102" s="55"/>
      <c r="CY102" s="55"/>
      <c r="CZ102" s="55"/>
      <c r="DA102" s="55"/>
      <c r="DB102" s="55"/>
      <c r="DC102" s="55"/>
      <c r="DD102" s="55"/>
      <c r="DE102" s="55"/>
      <c r="DF102" s="55"/>
      <c r="DG102" s="55"/>
      <c r="DH102" s="55"/>
      <c r="DI102" s="55"/>
      <c r="DJ102" s="130"/>
      <c r="DK102" s="55"/>
      <c r="DL102" s="55"/>
      <c r="DM102" s="55"/>
      <c r="DN102" s="55"/>
      <c r="DO102" s="130"/>
      <c r="DP102" s="55"/>
      <c r="DQ102" s="55"/>
      <c r="DR102" s="55"/>
      <c r="DS102" s="55"/>
      <c r="DT102" s="55"/>
      <c r="DU102" s="55"/>
      <c r="DV102" s="55"/>
      <c r="DW102" s="55"/>
      <c r="DX102" s="55"/>
      <c r="DY102" s="55"/>
      <c r="DZ102" s="55"/>
      <c r="EA102" s="130"/>
      <c r="EB102" s="55"/>
      <c r="EC102" s="55"/>
      <c r="ED102" s="54" t="s">
        <v>63</v>
      </c>
      <c r="EE102" s="271" t="s">
        <v>99</v>
      </c>
      <c r="EF102" s="271"/>
      <c r="EG102" s="271"/>
      <c r="EH102" s="271"/>
      <c r="EI102" s="271"/>
      <c r="EJ102" s="271"/>
      <c r="EK102" s="55"/>
      <c r="EL102" s="54" t="s">
        <v>63</v>
      </c>
      <c r="EM102" s="271" t="s">
        <v>99</v>
      </c>
      <c r="EN102" s="271"/>
      <c r="EO102" s="271"/>
      <c r="EP102" s="271"/>
      <c r="EQ102" s="271"/>
      <c r="ER102" s="271"/>
      <c r="ES102" s="55"/>
      <c r="ET102" s="55"/>
      <c r="EU102" s="55"/>
      <c r="EV102" s="55"/>
      <c r="EW102" s="55"/>
      <c r="EX102" s="55"/>
      <c r="EY102" s="55"/>
      <c r="EZ102" s="55"/>
      <c r="FA102" s="55"/>
      <c r="FB102" s="55"/>
      <c r="FC102" s="55"/>
      <c r="FD102" s="55"/>
      <c r="FE102" s="130"/>
    </row>
    <row r="103" spans="1:161" ht="17.25" customHeight="1" x14ac:dyDescent="0.2">
      <c r="A103" s="124"/>
      <c r="B103" s="124"/>
      <c r="C103" s="124"/>
      <c r="D103" s="124"/>
      <c r="E103" s="124"/>
      <c r="F103" s="124"/>
      <c r="G103" s="124"/>
      <c r="H103" s="124"/>
      <c r="I103" s="124"/>
      <c r="J103" s="124"/>
      <c r="K103" s="124"/>
      <c r="L103" s="124"/>
      <c r="M103" s="124"/>
      <c r="N103" s="124"/>
      <c r="O103" s="124"/>
      <c r="P103" s="124"/>
      <c r="BJ103" s="55"/>
      <c r="BK103" s="55"/>
      <c r="BL103" s="130"/>
      <c r="BM103" s="55"/>
      <c r="BN103" s="55"/>
      <c r="BO103" s="55"/>
      <c r="BP103" s="55"/>
      <c r="BQ103" s="55"/>
      <c r="BR103" s="55"/>
      <c r="BS103" s="55"/>
      <c r="BT103" s="55"/>
      <c r="BU103" s="55"/>
      <c r="BV103" s="55"/>
      <c r="BW103" s="55"/>
      <c r="BX103" s="130"/>
      <c r="BY103" s="55"/>
      <c r="BZ103" s="55"/>
      <c r="CA103" s="54"/>
      <c r="CB103" s="280"/>
      <c r="CC103" s="280"/>
      <c r="CD103" s="280"/>
      <c r="CE103" s="280"/>
      <c r="CF103" s="280"/>
      <c r="CG103" s="280"/>
      <c r="CH103" s="55"/>
      <c r="CI103" s="168"/>
      <c r="CJ103" s="280"/>
      <c r="CK103" s="280"/>
      <c r="CL103" s="280"/>
      <c r="CM103" s="280"/>
      <c r="CN103" s="280"/>
      <c r="CO103" s="280"/>
      <c r="CP103" s="55"/>
      <c r="CQ103" s="54"/>
      <c r="CR103" s="57"/>
      <c r="CS103" s="57"/>
      <c r="CT103" s="57"/>
      <c r="CU103" s="57"/>
      <c r="CV103" s="57"/>
      <c r="CW103" s="57"/>
      <c r="CX103" s="55"/>
      <c r="CY103" s="55"/>
      <c r="CZ103" s="55"/>
      <c r="DA103" s="55"/>
      <c r="DB103" s="55"/>
      <c r="DC103" s="55"/>
      <c r="DD103" s="55"/>
      <c r="DE103" s="55"/>
      <c r="DF103" s="55"/>
      <c r="DG103" s="55"/>
      <c r="DH103" s="55"/>
      <c r="DI103" s="55"/>
      <c r="DJ103" s="130"/>
      <c r="DK103" s="55"/>
      <c r="DL103" s="55"/>
      <c r="DM103" s="55"/>
      <c r="DN103" s="55"/>
      <c r="DO103" s="130"/>
      <c r="DP103" s="55"/>
      <c r="DQ103" s="55"/>
      <c r="DR103" s="55"/>
      <c r="DS103" s="55"/>
      <c r="DT103" s="55"/>
      <c r="DU103" s="55"/>
      <c r="DV103" s="55"/>
      <c r="DW103" s="55"/>
      <c r="DX103" s="55"/>
      <c r="DY103" s="55"/>
      <c r="DZ103" s="55"/>
      <c r="EA103" s="130"/>
      <c r="EB103" s="55"/>
      <c r="EC103" s="55"/>
      <c r="ED103" s="4"/>
      <c r="EE103" s="271"/>
      <c r="EF103" s="271"/>
      <c r="EG103" s="271"/>
      <c r="EH103" s="271"/>
      <c r="EI103" s="271"/>
      <c r="EJ103" s="271"/>
      <c r="EK103" s="55"/>
      <c r="EL103" s="4"/>
      <c r="EM103" s="271"/>
      <c r="EN103" s="271"/>
      <c r="EO103" s="271"/>
      <c r="EP103" s="271"/>
      <c r="EQ103" s="271"/>
      <c r="ER103" s="271"/>
      <c r="ES103" s="55"/>
      <c r="ET103" s="55"/>
      <c r="EU103" s="55"/>
      <c r="EV103" s="55"/>
      <c r="EW103" s="55"/>
      <c r="EX103" s="55"/>
      <c r="EY103" s="55"/>
      <c r="EZ103" s="55"/>
      <c r="FA103" s="55"/>
      <c r="FB103" s="55"/>
      <c r="FC103" s="55"/>
      <c r="FD103" s="55"/>
      <c r="FE103" s="130"/>
    </row>
    <row r="104" spans="1:161" ht="17.25" customHeight="1" x14ac:dyDescent="0.2">
      <c r="A104" s="124"/>
      <c r="B104" s="124"/>
      <c r="C104" s="124"/>
      <c r="D104" s="124"/>
      <c r="E104" s="124"/>
      <c r="F104" s="124"/>
      <c r="G104" s="124"/>
      <c r="H104" s="124"/>
      <c r="I104" s="124"/>
      <c r="J104" s="124"/>
      <c r="K104" s="124"/>
      <c r="L104" s="124"/>
      <c r="M104" s="124"/>
      <c r="N104" s="124"/>
      <c r="O104" s="124"/>
      <c r="P104" s="124"/>
      <c r="BJ104" s="55"/>
      <c r="BK104" s="55"/>
      <c r="BL104" s="130"/>
      <c r="BM104" s="55"/>
      <c r="BN104" s="55"/>
      <c r="BO104" s="55"/>
      <c r="BP104" s="55"/>
      <c r="BQ104" s="55"/>
      <c r="BR104" s="55"/>
      <c r="BS104" s="55"/>
      <c r="BT104" s="55"/>
      <c r="BU104" s="55"/>
      <c r="BV104" s="55"/>
      <c r="BW104" s="55"/>
      <c r="BX104" s="130"/>
      <c r="BY104" s="55"/>
      <c r="BZ104" s="55"/>
      <c r="CA104" s="54" t="s">
        <v>64</v>
      </c>
      <c r="CB104" s="271" t="s">
        <v>99</v>
      </c>
      <c r="CC104" s="271"/>
      <c r="CD104" s="271"/>
      <c r="CE104" s="271"/>
      <c r="CF104" s="271"/>
      <c r="CG104" s="271"/>
      <c r="CH104" s="55"/>
      <c r="CI104" s="169"/>
      <c r="CJ104" s="279" t="s">
        <v>187</v>
      </c>
      <c r="CK104" s="279"/>
      <c r="CL104" s="279"/>
      <c r="CM104" s="279"/>
      <c r="CN104" s="279"/>
      <c r="CO104" s="279"/>
      <c r="CP104" s="55"/>
      <c r="CQ104" s="54" t="s">
        <v>64</v>
      </c>
      <c r="CR104" s="278" t="s">
        <v>99</v>
      </c>
      <c r="CS104" s="278"/>
      <c r="CT104" s="278"/>
      <c r="CU104" s="278"/>
      <c r="CV104" s="278"/>
      <c r="CW104" s="278"/>
      <c r="CX104" s="55"/>
      <c r="CY104" s="55"/>
      <c r="CZ104" s="55"/>
      <c r="DA104" s="55"/>
      <c r="DB104" s="55"/>
      <c r="DC104" s="55"/>
      <c r="DD104" s="55"/>
      <c r="DE104" s="55"/>
      <c r="DF104" s="55"/>
      <c r="DG104" s="55"/>
      <c r="DH104" s="55"/>
      <c r="DI104" s="55"/>
      <c r="DJ104" s="130"/>
      <c r="DK104" s="55"/>
      <c r="DL104" s="55"/>
      <c r="DM104" s="55"/>
      <c r="DN104" s="55"/>
      <c r="DO104" s="130"/>
      <c r="DP104" s="55"/>
      <c r="DQ104" s="55"/>
      <c r="DR104" s="55"/>
      <c r="DS104" s="55"/>
      <c r="DT104" s="55"/>
      <c r="DU104" s="55"/>
      <c r="DV104" s="55"/>
      <c r="DW104" s="55"/>
      <c r="DX104" s="55"/>
      <c r="DY104" s="55"/>
      <c r="DZ104" s="55"/>
      <c r="EA104" s="130"/>
      <c r="EB104" s="55"/>
      <c r="EC104" s="55"/>
      <c r="ED104" s="54"/>
      <c r="EE104" s="192"/>
      <c r="EF104" s="192"/>
      <c r="EG104" s="192"/>
      <c r="EH104" s="192"/>
      <c r="EI104" s="192"/>
      <c r="EJ104" s="192"/>
      <c r="EK104" s="55"/>
      <c r="EL104" s="4"/>
      <c r="EM104" s="4"/>
      <c r="EN104" s="4"/>
      <c r="EO104" s="4"/>
      <c r="EP104" s="4"/>
      <c r="EQ104" s="4"/>
      <c r="ER104" s="4"/>
      <c r="ES104" s="55"/>
      <c r="ET104" s="55"/>
      <c r="EU104" s="55"/>
      <c r="EV104" s="55"/>
      <c r="EW104" s="55"/>
      <c r="EX104" s="55"/>
      <c r="EY104" s="55"/>
      <c r="EZ104" s="55"/>
      <c r="FA104" s="55"/>
      <c r="FB104" s="55"/>
      <c r="FC104" s="55"/>
      <c r="FD104" s="55"/>
      <c r="FE104" s="130"/>
    </row>
    <row r="105" spans="1:161" ht="17.25" customHeight="1" x14ac:dyDescent="0.2">
      <c r="A105" s="124"/>
      <c r="B105" s="124"/>
      <c r="C105" s="124"/>
      <c r="D105" s="124"/>
      <c r="E105" s="124"/>
      <c r="F105" s="124"/>
      <c r="G105" s="124"/>
      <c r="H105" s="124"/>
      <c r="I105" s="124"/>
      <c r="J105" s="124"/>
      <c r="K105" s="124"/>
      <c r="L105" s="124"/>
      <c r="M105" s="124"/>
      <c r="N105" s="124"/>
      <c r="O105" s="124"/>
      <c r="P105" s="124"/>
      <c r="BJ105" s="55"/>
      <c r="BK105" s="55"/>
      <c r="BL105" s="130"/>
      <c r="BM105" s="55"/>
      <c r="BN105" s="55"/>
      <c r="BO105" s="55"/>
      <c r="BP105" s="55"/>
      <c r="BQ105" s="55"/>
      <c r="BR105" s="55"/>
      <c r="BS105" s="55"/>
      <c r="BT105" s="55"/>
      <c r="BU105" s="55"/>
      <c r="BV105" s="55"/>
      <c r="BW105" s="55"/>
      <c r="BX105" s="130"/>
      <c r="BY105" s="55"/>
      <c r="BZ105" s="55"/>
      <c r="CA105" s="4"/>
      <c r="CB105" s="271"/>
      <c r="CC105" s="271"/>
      <c r="CD105" s="271"/>
      <c r="CE105" s="271"/>
      <c r="CF105" s="271"/>
      <c r="CG105" s="271"/>
      <c r="CH105" s="55"/>
      <c r="CI105" s="170"/>
      <c r="CJ105" s="279"/>
      <c r="CK105" s="279"/>
      <c r="CL105" s="279"/>
      <c r="CM105" s="279"/>
      <c r="CN105" s="279"/>
      <c r="CO105" s="279"/>
      <c r="CP105" s="55"/>
      <c r="CQ105" s="193"/>
      <c r="CR105" s="278"/>
      <c r="CS105" s="278"/>
      <c r="CT105" s="278"/>
      <c r="CU105" s="278"/>
      <c r="CV105" s="278"/>
      <c r="CW105" s="278"/>
      <c r="CX105" s="55"/>
      <c r="CY105" s="55"/>
      <c r="CZ105" s="55"/>
      <c r="DA105" s="55"/>
      <c r="DB105" s="55"/>
      <c r="DC105" s="55"/>
      <c r="DD105" s="55"/>
      <c r="DE105" s="55"/>
      <c r="DF105" s="55"/>
      <c r="DG105" s="55"/>
      <c r="DH105" s="55"/>
      <c r="DI105" s="55"/>
      <c r="DJ105" s="130"/>
      <c r="DK105" s="55"/>
      <c r="DL105" s="55"/>
      <c r="DM105" s="55"/>
      <c r="DN105" s="55"/>
      <c r="DO105" s="130"/>
      <c r="DP105" s="55"/>
      <c r="DQ105" s="55"/>
      <c r="DR105" s="55"/>
      <c r="DS105" s="55"/>
      <c r="DT105" s="55"/>
      <c r="DU105" s="55"/>
      <c r="DV105" s="55"/>
      <c r="DW105" s="55"/>
      <c r="DX105" s="55"/>
      <c r="DY105" s="55"/>
      <c r="DZ105" s="55"/>
      <c r="EA105" s="130"/>
      <c r="EB105" s="55"/>
      <c r="EC105" s="55"/>
      <c r="ED105" s="54" t="s">
        <v>64</v>
      </c>
      <c r="EE105" s="271" t="s">
        <v>100</v>
      </c>
      <c r="EF105" s="271"/>
      <c r="EG105" s="271"/>
      <c r="EH105" s="271"/>
      <c r="EI105" s="271"/>
      <c r="EJ105" s="271"/>
      <c r="EK105" s="55"/>
      <c r="EL105" s="54" t="s">
        <v>64</v>
      </c>
      <c r="EM105" s="271" t="s">
        <v>100</v>
      </c>
      <c r="EN105" s="271"/>
      <c r="EO105" s="271"/>
      <c r="EP105" s="271"/>
      <c r="EQ105" s="271"/>
      <c r="ER105" s="271"/>
      <c r="ES105" s="55"/>
      <c r="ET105" s="55"/>
      <c r="EU105" s="55"/>
      <c r="EV105" s="55"/>
      <c r="EW105" s="55"/>
      <c r="EX105" s="55"/>
      <c r="EY105" s="55"/>
      <c r="EZ105" s="55"/>
      <c r="FA105" s="55"/>
      <c r="FB105" s="55"/>
      <c r="FC105" s="55"/>
      <c r="FD105" s="55"/>
      <c r="FE105" s="130"/>
    </row>
    <row r="106" spans="1:161" ht="17.25" customHeight="1" x14ac:dyDescent="0.2">
      <c r="A106" s="124"/>
      <c r="B106" s="124"/>
      <c r="C106" s="124"/>
      <c r="D106" s="124"/>
      <c r="E106" s="124"/>
      <c r="F106" s="124"/>
      <c r="G106" s="124"/>
      <c r="H106" s="124"/>
      <c r="I106" s="124"/>
      <c r="J106" s="124"/>
      <c r="K106" s="124"/>
      <c r="L106" s="124"/>
      <c r="M106" s="124"/>
      <c r="N106" s="124"/>
      <c r="O106" s="124"/>
      <c r="P106" s="124"/>
      <c r="BJ106" s="55"/>
      <c r="BK106" s="55"/>
      <c r="BL106" s="130"/>
      <c r="BM106" s="55"/>
      <c r="BN106" s="55"/>
      <c r="BO106" s="55"/>
      <c r="BP106" s="55"/>
      <c r="BQ106" s="55"/>
      <c r="BR106" s="55"/>
      <c r="BS106" s="55"/>
      <c r="BT106" s="55"/>
      <c r="BU106" s="55"/>
      <c r="BV106" s="55"/>
      <c r="BW106" s="55"/>
      <c r="BX106" s="130"/>
      <c r="BY106" s="55"/>
      <c r="BZ106" s="55"/>
      <c r="CA106" s="4"/>
      <c r="CB106" s="4"/>
      <c r="CC106" s="4"/>
      <c r="CD106" s="4"/>
      <c r="CE106" s="4"/>
      <c r="CF106" s="4"/>
      <c r="CG106" s="4"/>
      <c r="CH106" s="55"/>
      <c r="CI106" s="167"/>
      <c r="CJ106" s="279"/>
      <c r="CK106" s="279"/>
      <c r="CL106" s="279"/>
      <c r="CM106" s="279"/>
      <c r="CN106" s="279"/>
      <c r="CO106" s="279"/>
      <c r="CP106" s="55"/>
      <c r="CQ106" s="54" t="s">
        <v>65</v>
      </c>
      <c r="CR106" s="277" t="s">
        <v>100</v>
      </c>
      <c r="CS106" s="277"/>
      <c r="CT106" s="277"/>
      <c r="CU106" s="277"/>
      <c r="CV106" s="277"/>
      <c r="CW106" s="277"/>
      <c r="CX106" s="55"/>
      <c r="CY106" s="55"/>
      <c r="CZ106" s="55"/>
      <c r="DA106" s="55"/>
      <c r="DB106" s="55"/>
      <c r="DC106" s="55"/>
      <c r="DD106" s="55"/>
      <c r="DE106" s="55"/>
      <c r="DF106" s="55"/>
      <c r="DG106" s="55"/>
      <c r="DH106" s="55"/>
      <c r="DI106" s="55"/>
      <c r="DJ106" s="130"/>
      <c r="DK106" s="55"/>
      <c r="DL106" s="55"/>
      <c r="DM106" s="55"/>
      <c r="DN106" s="55"/>
      <c r="DO106" s="130"/>
      <c r="DP106" s="55"/>
      <c r="DQ106" s="55"/>
      <c r="DR106" s="55"/>
      <c r="DS106" s="55"/>
      <c r="DT106" s="55"/>
      <c r="DU106" s="55"/>
      <c r="DV106" s="55"/>
      <c r="DW106" s="55"/>
      <c r="DX106" s="55"/>
      <c r="DY106" s="55"/>
      <c r="DZ106" s="55"/>
      <c r="EA106" s="130"/>
      <c r="EB106" s="55"/>
      <c r="EC106" s="55"/>
      <c r="ED106" s="54"/>
      <c r="EE106" s="96"/>
      <c r="EF106" s="96"/>
      <c r="EG106" s="96"/>
      <c r="EH106" s="96"/>
      <c r="EI106" s="96"/>
      <c r="EJ106" s="96"/>
      <c r="EK106" s="55"/>
      <c r="EL106" s="4"/>
      <c r="EM106" s="4"/>
      <c r="EN106" s="4"/>
      <c r="EO106" s="4"/>
      <c r="EP106" s="4"/>
      <c r="EQ106" s="4"/>
      <c r="ER106" s="4"/>
      <c r="ES106" s="55"/>
      <c r="ET106" s="55"/>
      <c r="EU106" s="55"/>
      <c r="EV106" s="55"/>
      <c r="EW106" s="55"/>
      <c r="EX106" s="55"/>
      <c r="EY106" s="55"/>
      <c r="EZ106" s="55"/>
      <c r="FA106" s="55"/>
      <c r="FB106" s="55"/>
      <c r="FC106" s="55"/>
      <c r="FD106" s="55"/>
      <c r="FE106" s="130"/>
    </row>
    <row r="107" spans="1:161" ht="17.25" customHeight="1" x14ac:dyDescent="0.2">
      <c r="A107" s="124"/>
      <c r="B107" s="124"/>
      <c r="C107" s="124"/>
      <c r="D107" s="124"/>
      <c r="E107" s="124"/>
      <c r="F107" s="124"/>
      <c r="G107" s="124"/>
      <c r="H107" s="124"/>
      <c r="I107" s="124"/>
      <c r="J107" s="124"/>
      <c r="K107" s="124"/>
      <c r="L107" s="124"/>
      <c r="M107" s="124"/>
      <c r="N107" s="124"/>
      <c r="O107" s="124"/>
      <c r="P107" s="124"/>
      <c r="BJ107" s="55"/>
      <c r="BK107" s="55"/>
      <c r="BL107" s="130"/>
      <c r="BM107" s="55"/>
      <c r="BN107" s="55"/>
      <c r="BO107" s="55"/>
      <c r="BP107" s="55"/>
      <c r="BQ107" s="55"/>
      <c r="BR107" s="55"/>
      <c r="BS107" s="55"/>
      <c r="BT107" s="55"/>
      <c r="BU107" s="55"/>
      <c r="BV107" s="55"/>
      <c r="BW107" s="55"/>
      <c r="BX107" s="130"/>
      <c r="BY107" s="55"/>
      <c r="BZ107" s="55"/>
      <c r="CA107" s="54" t="s">
        <v>65</v>
      </c>
      <c r="CB107" s="277" t="s">
        <v>100</v>
      </c>
      <c r="CC107" s="277"/>
      <c r="CD107" s="277"/>
      <c r="CE107" s="277"/>
      <c r="CF107" s="277"/>
      <c r="CG107" s="277"/>
      <c r="CH107" s="55"/>
      <c r="CI107" s="167" t="s">
        <v>188</v>
      </c>
      <c r="CJ107" s="280" t="s">
        <v>99</v>
      </c>
      <c r="CK107" s="280"/>
      <c r="CL107" s="280"/>
      <c r="CM107" s="280"/>
      <c r="CN107" s="280"/>
      <c r="CO107" s="280"/>
      <c r="CP107" s="55"/>
      <c r="CQ107" s="4"/>
      <c r="CR107" s="273" t="s">
        <v>101</v>
      </c>
      <c r="CS107" s="273"/>
      <c r="CT107" s="273"/>
      <c r="CU107" s="273"/>
      <c r="CV107" s="273"/>
      <c r="CW107" s="273"/>
      <c r="CX107" s="55"/>
      <c r="CY107" s="55"/>
      <c r="CZ107" s="55"/>
      <c r="DA107" s="55"/>
      <c r="DB107" s="55"/>
      <c r="DC107" s="55"/>
      <c r="DD107" s="55"/>
      <c r="DE107" s="55"/>
      <c r="DF107" s="55"/>
      <c r="DG107" s="55"/>
      <c r="DH107" s="55"/>
      <c r="DI107" s="55"/>
      <c r="DJ107" s="130"/>
      <c r="DK107" s="55"/>
      <c r="DL107" s="55"/>
      <c r="DM107" s="55"/>
      <c r="DN107" s="55"/>
      <c r="DO107" s="130"/>
      <c r="DP107" s="55"/>
      <c r="DQ107" s="55"/>
      <c r="DR107" s="55"/>
      <c r="DS107" s="55"/>
      <c r="DT107" s="55"/>
      <c r="DU107" s="55"/>
      <c r="DV107" s="55"/>
      <c r="DW107" s="55"/>
      <c r="DX107" s="55"/>
      <c r="DY107" s="55"/>
      <c r="DZ107" s="55"/>
      <c r="EA107" s="130"/>
      <c r="EB107" s="55"/>
      <c r="EC107" s="55"/>
      <c r="ED107" s="54" t="s">
        <v>65</v>
      </c>
      <c r="EE107" s="271" t="s">
        <v>91</v>
      </c>
      <c r="EF107" s="271"/>
      <c r="EG107" s="271"/>
      <c r="EH107" s="271"/>
      <c r="EI107" s="271"/>
      <c r="EJ107" s="271"/>
      <c r="EK107" s="55"/>
      <c r="EL107" s="54" t="s">
        <v>65</v>
      </c>
      <c r="EM107" s="271" t="s">
        <v>91</v>
      </c>
      <c r="EN107" s="271"/>
      <c r="EO107" s="271"/>
      <c r="EP107" s="271"/>
      <c r="EQ107" s="271"/>
      <c r="ER107" s="271"/>
      <c r="ES107" s="55"/>
      <c r="ET107" s="55"/>
      <c r="EU107" s="55"/>
      <c r="EV107" s="55"/>
      <c r="EW107" s="55"/>
      <c r="EX107" s="55"/>
      <c r="EY107" s="55"/>
      <c r="EZ107" s="55"/>
      <c r="FA107" s="55"/>
      <c r="FB107" s="55"/>
      <c r="FC107" s="55"/>
      <c r="FD107" s="55"/>
      <c r="FE107" s="130"/>
    </row>
    <row r="108" spans="1:161" ht="17.25" customHeight="1" x14ac:dyDescent="0.2">
      <c r="A108" s="124"/>
      <c r="B108" s="124"/>
      <c r="C108" s="124"/>
      <c r="D108" s="124"/>
      <c r="E108" s="124"/>
      <c r="F108" s="124"/>
      <c r="G108" s="124"/>
      <c r="H108" s="124"/>
      <c r="I108" s="124"/>
      <c r="J108" s="124"/>
      <c r="K108" s="124"/>
      <c r="L108" s="124"/>
      <c r="M108" s="124"/>
      <c r="N108" s="124"/>
      <c r="O108" s="124"/>
      <c r="P108" s="124"/>
      <c r="BJ108" s="55"/>
      <c r="BK108" s="55"/>
      <c r="BL108" s="130"/>
      <c r="BM108" s="55"/>
      <c r="BN108" s="55"/>
      <c r="BO108" s="55"/>
      <c r="BP108" s="55"/>
      <c r="BQ108" s="55"/>
      <c r="BR108" s="55"/>
      <c r="BS108" s="55"/>
      <c r="BT108" s="55"/>
      <c r="BU108" s="55"/>
      <c r="BV108" s="55"/>
      <c r="BW108" s="55"/>
      <c r="BX108" s="130"/>
      <c r="BY108" s="55"/>
      <c r="BZ108" s="55"/>
      <c r="CA108" s="4"/>
      <c r="CB108" s="273" t="s">
        <v>101</v>
      </c>
      <c r="CC108" s="273"/>
      <c r="CD108" s="273"/>
      <c r="CE108" s="273"/>
      <c r="CF108" s="273"/>
      <c r="CG108" s="273"/>
      <c r="CH108" s="55"/>
      <c r="CI108" s="4"/>
      <c r="CJ108" s="280"/>
      <c r="CK108" s="280"/>
      <c r="CL108" s="280"/>
      <c r="CM108" s="280"/>
      <c r="CN108" s="280"/>
      <c r="CO108" s="280"/>
      <c r="CP108" s="55"/>
      <c r="CQ108" s="4"/>
      <c r="CR108" s="273"/>
      <c r="CS108" s="273"/>
      <c r="CT108" s="273"/>
      <c r="CU108" s="273"/>
      <c r="CV108" s="273"/>
      <c r="CW108" s="273"/>
      <c r="CX108" s="55"/>
      <c r="CY108" s="55"/>
      <c r="CZ108" s="55"/>
      <c r="DA108" s="55"/>
      <c r="DB108" s="55"/>
      <c r="DC108" s="55"/>
      <c r="DD108" s="55"/>
      <c r="DE108" s="55"/>
      <c r="DF108" s="55"/>
      <c r="DG108" s="55"/>
      <c r="DH108" s="55"/>
      <c r="DI108" s="55"/>
      <c r="DJ108" s="130"/>
      <c r="DK108" s="55"/>
      <c r="DL108" s="55"/>
      <c r="DM108" s="55"/>
      <c r="DN108" s="55"/>
      <c r="DO108" s="130"/>
      <c r="DP108" s="55"/>
      <c r="DQ108" s="55"/>
      <c r="DR108" s="55"/>
      <c r="DS108" s="55"/>
      <c r="DT108" s="55"/>
      <c r="DU108" s="55"/>
      <c r="DV108" s="55"/>
      <c r="DW108" s="55"/>
      <c r="DX108" s="55"/>
      <c r="DY108" s="55"/>
      <c r="DZ108" s="55"/>
      <c r="EA108" s="130"/>
      <c r="EB108" s="55"/>
      <c r="EC108" s="55"/>
      <c r="ED108" s="4"/>
      <c r="EE108" s="271"/>
      <c r="EF108" s="271"/>
      <c r="EG108" s="271"/>
      <c r="EH108" s="271"/>
      <c r="EI108" s="271"/>
      <c r="EJ108" s="271"/>
      <c r="EK108" s="55"/>
      <c r="EL108" s="4"/>
      <c r="EM108" s="271"/>
      <c r="EN108" s="271"/>
      <c r="EO108" s="271"/>
      <c r="EP108" s="271"/>
      <c r="EQ108" s="271"/>
      <c r="ER108" s="271"/>
      <c r="ES108" s="55"/>
      <c r="ET108" s="55"/>
      <c r="EU108" s="55"/>
      <c r="EV108" s="55"/>
      <c r="EW108" s="55"/>
      <c r="EX108" s="55"/>
      <c r="EY108" s="55"/>
      <c r="EZ108" s="55"/>
      <c r="FA108" s="55"/>
      <c r="FB108" s="55"/>
      <c r="FC108" s="55"/>
      <c r="FD108" s="55"/>
      <c r="FE108" s="130"/>
    </row>
    <row r="109" spans="1:161" ht="17.25" customHeight="1" x14ac:dyDescent="0.2">
      <c r="A109" s="124"/>
      <c r="B109" s="124"/>
      <c r="C109" s="124"/>
      <c r="D109" s="124"/>
      <c r="E109" s="124"/>
      <c r="F109" s="124"/>
      <c r="G109" s="124"/>
      <c r="H109" s="124"/>
      <c r="I109" s="124"/>
      <c r="J109" s="124"/>
      <c r="K109" s="124"/>
      <c r="L109" s="124"/>
      <c r="M109" s="124"/>
      <c r="N109" s="124"/>
      <c r="O109" s="124"/>
      <c r="P109" s="124"/>
      <c r="BJ109" s="55"/>
      <c r="BK109" s="55"/>
      <c r="BL109" s="130"/>
      <c r="BM109" s="55"/>
      <c r="BN109" s="55"/>
      <c r="BO109" s="55"/>
      <c r="BP109" s="55"/>
      <c r="BQ109" s="55"/>
      <c r="BR109" s="55"/>
      <c r="BS109" s="55"/>
      <c r="BT109" s="55"/>
      <c r="BU109" s="55"/>
      <c r="BV109" s="55"/>
      <c r="BW109" s="55"/>
      <c r="BX109" s="130"/>
      <c r="BY109" s="55"/>
      <c r="BZ109" s="55"/>
      <c r="CA109" s="4"/>
      <c r="CB109" s="273"/>
      <c r="CC109" s="273"/>
      <c r="CD109" s="273"/>
      <c r="CE109" s="273"/>
      <c r="CF109" s="273"/>
      <c r="CG109" s="273"/>
      <c r="CH109" s="55"/>
      <c r="CI109" s="55"/>
      <c r="CJ109" s="280"/>
      <c r="CK109" s="280"/>
      <c r="CL109" s="280"/>
      <c r="CM109" s="280"/>
      <c r="CN109" s="280"/>
      <c r="CO109" s="280"/>
      <c r="CP109" s="55"/>
      <c r="CQ109" s="4"/>
      <c r="CR109" s="273"/>
      <c r="CS109" s="273"/>
      <c r="CT109" s="273"/>
      <c r="CU109" s="273"/>
      <c r="CV109" s="273"/>
      <c r="CW109" s="273"/>
      <c r="CX109" s="55"/>
      <c r="CY109" s="55"/>
      <c r="CZ109" s="55"/>
      <c r="DA109" s="55"/>
      <c r="DB109" s="55"/>
      <c r="DC109" s="55"/>
      <c r="DD109" s="55"/>
      <c r="DE109" s="55"/>
      <c r="DF109" s="55"/>
      <c r="DG109" s="55"/>
      <c r="DH109" s="55"/>
      <c r="DI109" s="55"/>
      <c r="DJ109" s="130"/>
      <c r="DK109" s="55"/>
      <c r="DL109" s="55"/>
      <c r="DM109" s="55"/>
      <c r="DN109" s="55"/>
      <c r="DO109" s="130"/>
      <c r="DP109" s="55"/>
      <c r="DQ109" s="55"/>
      <c r="DR109" s="55"/>
      <c r="DS109" s="55"/>
      <c r="DT109" s="55"/>
      <c r="DU109" s="55"/>
      <c r="DV109" s="55"/>
      <c r="DW109" s="55"/>
      <c r="DX109" s="55"/>
      <c r="DY109" s="55"/>
      <c r="DZ109" s="55"/>
      <c r="EA109" s="130"/>
      <c r="EB109" s="55"/>
      <c r="EC109" s="55"/>
      <c r="ED109" s="4"/>
      <c r="EE109" s="4"/>
      <c r="EF109" s="57"/>
      <c r="EG109" s="57"/>
      <c r="EH109" s="57"/>
      <c r="EI109" s="57"/>
      <c r="EJ109" s="117"/>
      <c r="EK109" s="55"/>
      <c r="EL109" s="4"/>
      <c r="EM109" s="4"/>
      <c r="EN109" s="4"/>
      <c r="EO109" s="4"/>
      <c r="EP109" s="4"/>
      <c r="EQ109" s="4"/>
      <c r="ER109" s="4"/>
      <c r="ES109" s="55"/>
      <c r="ET109" s="55"/>
      <c r="EU109" s="55"/>
      <c r="EV109" s="55"/>
      <c r="EW109" s="55"/>
      <c r="EX109" s="55"/>
      <c r="EY109" s="55"/>
      <c r="EZ109" s="55"/>
      <c r="FA109" s="55"/>
      <c r="FB109" s="55"/>
      <c r="FC109" s="55"/>
      <c r="FD109" s="55"/>
      <c r="FE109" s="130"/>
    </row>
    <row r="110" spans="1:161" ht="17.25" customHeight="1" x14ac:dyDescent="0.2">
      <c r="A110" s="124"/>
      <c r="B110" s="124"/>
      <c r="C110" s="124"/>
      <c r="D110" s="124"/>
      <c r="E110" s="124"/>
      <c r="F110" s="124"/>
      <c r="G110" s="124"/>
      <c r="H110" s="124"/>
      <c r="I110" s="124"/>
      <c r="J110" s="124"/>
      <c r="K110" s="124"/>
      <c r="L110" s="124"/>
      <c r="M110" s="124"/>
      <c r="N110" s="124"/>
      <c r="O110" s="124"/>
      <c r="P110" s="124"/>
      <c r="BJ110" s="55"/>
      <c r="BK110" s="55"/>
      <c r="BL110" s="130"/>
      <c r="BM110" s="55"/>
      <c r="BN110" s="55"/>
      <c r="BO110" s="55"/>
      <c r="BP110" s="55"/>
      <c r="BQ110" s="55"/>
      <c r="BR110" s="55"/>
      <c r="BS110" s="55"/>
      <c r="BT110" s="55"/>
      <c r="BU110" s="55"/>
      <c r="BV110" s="55"/>
      <c r="BW110" s="55"/>
      <c r="BX110" s="130"/>
      <c r="BY110" s="55"/>
      <c r="BZ110" s="55"/>
      <c r="CA110" s="4"/>
      <c r="CB110" s="273"/>
      <c r="CC110" s="273"/>
      <c r="CD110" s="273"/>
      <c r="CE110" s="273"/>
      <c r="CF110" s="273"/>
      <c r="CG110" s="273"/>
      <c r="CH110" s="55"/>
      <c r="CI110" s="55"/>
      <c r="CJ110" s="55"/>
      <c r="CK110" s="55"/>
      <c r="CL110" s="55"/>
      <c r="CM110" s="55"/>
      <c r="CN110" s="55"/>
      <c r="CO110" s="55"/>
      <c r="CP110" s="55"/>
      <c r="CQ110" s="54" t="s">
        <v>66</v>
      </c>
      <c r="CR110" s="271" t="s">
        <v>107</v>
      </c>
      <c r="CS110" s="271"/>
      <c r="CT110" s="271"/>
      <c r="CU110" s="271"/>
      <c r="CV110" s="271"/>
      <c r="CW110" s="271"/>
      <c r="CX110" s="55"/>
      <c r="CY110" s="55"/>
      <c r="CZ110" s="55"/>
      <c r="DA110" s="55"/>
      <c r="DB110" s="55"/>
      <c r="DC110" s="55"/>
      <c r="DD110" s="55"/>
      <c r="DE110" s="55"/>
      <c r="DF110" s="55"/>
      <c r="DG110" s="55"/>
      <c r="DH110" s="55"/>
      <c r="DI110" s="55"/>
      <c r="DJ110" s="130"/>
      <c r="DK110" s="55"/>
      <c r="DL110" s="55"/>
      <c r="DM110" s="55"/>
      <c r="DN110" s="55"/>
      <c r="DO110" s="130"/>
      <c r="DP110" s="55"/>
      <c r="DQ110" s="55"/>
      <c r="DR110" s="55"/>
      <c r="DS110" s="55"/>
      <c r="DT110" s="55"/>
      <c r="DU110" s="55"/>
      <c r="DV110" s="55"/>
      <c r="DW110" s="55"/>
      <c r="DX110" s="55"/>
      <c r="DY110" s="55"/>
      <c r="DZ110" s="55"/>
      <c r="EA110" s="130"/>
      <c r="EB110" s="55"/>
      <c r="EC110" s="55"/>
      <c r="ED110" s="4"/>
      <c r="EE110" s="4"/>
      <c r="EF110" s="57"/>
      <c r="EG110" s="57"/>
      <c r="EH110" s="57"/>
      <c r="EI110" s="57"/>
      <c r="EJ110" s="117"/>
      <c r="EK110" s="55"/>
      <c r="EL110" s="54" t="s">
        <v>66</v>
      </c>
      <c r="EM110" s="277" t="s">
        <v>107</v>
      </c>
      <c r="EN110" s="277"/>
      <c r="EO110" s="277"/>
      <c r="EP110" s="277"/>
      <c r="EQ110" s="277"/>
      <c r="ER110" s="277"/>
      <c r="ES110" s="55"/>
      <c r="ET110" s="55"/>
      <c r="EU110" s="55"/>
      <c r="EV110" s="55"/>
      <c r="EW110" s="55"/>
      <c r="EX110" s="55"/>
      <c r="EY110" s="55"/>
      <c r="EZ110" s="55"/>
      <c r="FA110" s="55"/>
      <c r="FB110" s="55"/>
      <c r="FC110" s="55"/>
      <c r="FD110" s="55"/>
      <c r="FE110" s="130"/>
    </row>
    <row r="111" spans="1:161" ht="17.25" customHeight="1" x14ac:dyDescent="0.2">
      <c r="A111" s="124"/>
      <c r="B111" s="124"/>
      <c r="C111" s="124"/>
      <c r="D111" s="124"/>
      <c r="E111" s="124"/>
      <c r="F111" s="124"/>
      <c r="G111" s="124"/>
      <c r="H111" s="124"/>
      <c r="I111" s="124"/>
      <c r="J111" s="124"/>
      <c r="K111" s="124"/>
      <c r="L111" s="124"/>
      <c r="M111" s="124"/>
      <c r="N111" s="124"/>
      <c r="O111" s="124"/>
      <c r="P111" s="124"/>
      <c r="BJ111" s="55"/>
      <c r="BK111" s="55"/>
      <c r="BL111" s="130"/>
      <c r="BM111" s="55"/>
      <c r="BN111" s="55"/>
      <c r="BO111" s="55"/>
      <c r="BP111" s="55"/>
      <c r="BQ111" s="55"/>
      <c r="BR111" s="55"/>
      <c r="BS111" s="55"/>
      <c r="BT111" s="55"/>
      <c r="BU111" s="55"/>
      <c r="BV111" s="55"/>
      <c r="BW111" s="55"/>
      <c r="BX111" s="130"/>
      <c r="BY111" s="55"/>
      <c r="BZ111" s="55"/>
      <c r="CA111" s="4"/>
      <c r="CB111" s="4"/>
      <c r="CC111" s="4"/>
      <c r="CD111" s="4"/>
      <c r="CE111" s="4"/>
      <c r="CF111" s="4"/>
      <c r="CG111" s="4"/>
      <c r="CH111" s="55"/>
      <c r="CI111" s="55"/>
      <c r="CJ111" s="55"/>
      <c r="CK111" s="55"/>
      <c r="CL111" s="55"/>
      <c r="CM111" s="55"/>
      <c r="CN111" s="55"/>
      <c r="CO111" s="55"/>
      <c r="CP111" s="55"/>
      <c r="CQ111" s="4"/>
      <c r="CR111" s="271"/>
      <c r="CS111" s="271"/>
      <c r="CT111" s="271"/>
      <c r="CU111" s="271"/>
      <c r="CV111" s="271"/>
      <c r="CW111" s="271"/>
      <c r="CX111" s="55"/>
      <c r="CY111" s="55"/>
      <c r="CZ111" s="55"/>
      <c r="DA111" s="55"/>
      <c r="DB111" s="55"/>
      <c r="DC111" s="55"/>
      <c r="DD111" s="55"/>
      <c r="DE111" s="55"/>
      <c r="DF111" s="55"/>
      <c r="DG111" s="55"/>
      <c r="DH111" s="55"/>
      <c r="DI111" s="55"/>
      <c r="DJ111" s="130"/>
      <c r="DK111" s="55"/>
      <c r="DL111" s="55"/>
      <c r="DM111" s="55"/>
      <c r="DN111" s="55"/>
      <c r="DO111" s="130"/>
      <c r="DP111" s="55"/>
      <c r="DQ111" s="55"/>
      <c r="DR111" s="55"/>
      <c r="DS111" s="55"/>
      <c r="DT111" s="55"/>
      <c r="DU111" s="55"/>
      <c r="DV111" s="55"/>
      <c r="DW111" s="55"/>
      <c r="DX111" s="55"/>
      <c r="DY111" s="55"/>
      <c r="DZ111" s="55"/>
      <c r="EA111" s="130"/>
      <c r="EB111" s="55"/>
      <c r="EC111" s="55"/>
      <c r="ED111" s="4"/>
      <c r="EE111" s="4"/>
      <c r="EF111" s="57"/>
      <c r="EG111" s="57"/>
      <c r="EH111" s="57"/>
      <c r="EI111" s="57"/>
      <c r="EJ111" s="117"/>
      <c r="EK111" s="55"/>
      <c r="EL111" s="21"/>
      <c r="EM111" s="277"/>
      <c r="EN111" s="277"/>
      <c r="EO111" s="277"/>
      <c r="EP111" s="277"/>
      <c r="EQ111" s="277"/>
      <c r="ER111" s="277"/>
      <c r="ES111" s="55"/>
      <c r="ET111" s="55"/>
      <c r="EU111" s="55"/>
      <c r="EV111" s="55"/>
      <c r="EW111" s="55"/>
      <c r="EX111" s="55"/>
      <c r="EY111" s="55"/>
      <c r="EZ111" s="55"/>
      <c r="FA111" s="55"/>
      <c r="FB111" s="55"/>
      <c r="FC111" s="55"/>
      <c r="FD111" s="55"/>
      <c r="FE111" s="130"/>
    </row>
    <row r="112" spans="1:161" ht="17.25" customHeight="1" x14ac:dyDescent="0.2">
      <c r="A112" s="124"/>
      <c r="B112" s="124"/>
      <c r="C112" s="124"/>
      <c r="D112" s="124"/>
      <c r="E112" s="124"/>
      <c r="F112" s="124"/>
      <c r="G112" s="124"/>
      <c r="H112" s="124"/>
      <c r="I112" s="124"/>
      <c r="J112" s="124"/>
      <c r="K112" s="124"/>
      <c r="L112" s="124"/>
      <c r="M112" s="124"/>
      <c r="N112" s="124"/>
      <c r="O112" s="124"/>
      <c r="P112" s="124"/>
      <c r="BJ112" s="55"/>
      <c r="BK112" s="55"/>
      <c r="BL112" s="130"/>
      <c r="BM112" s="55"/>
      <c r="BN112" s="55"/>
      <c r="BO112" s="55"/>
      <c r="BP112" s="55"/>
      <c r="BQ112" s="55"/>
      <c r="BR112" s="55"/>
      <c r="BS112" s="55"/>
      <c r="BT112" s="55"/>
      <c r="BU112" s="55"/>
      <c r="BV112" s="55"/>
      <c r="BW112" s="55"/>
      <c r="BX112" s="130"/>
      <c r="BY112" s="55"/>
      <c r="BZ112" s="55"/>
      <c r="CA112" s="4"/>
      <c r="CB112" s="4"/>
      <c r="CC112" s="4"/>
      <c r="CD112" s="4"/>
      <c r="CE112" s="4"/>
      <c r="CF112" s="4"/>
      <c r="CG112" s="4"/>
      <c r="CH112" s="55"/>
      <c r="CI112" s="55"/>
      <c r="CJ112" s="55"/>
      <c r="CK112" s="55"/>
      <c r="CL112" s="55"/>
      <c r="CM112" s="55"/>
      <c r="CN112" s="55"/>
      <c r="CO112" s="55"/>
      <c r="CP112" s="55"/>
      <c r="CQ112" s="4"/>
      <c r="CR112" s="271"/>
      <c r="CS112" s="271"/>
      <c r="CT112" s="271"/>
      <c r="CU112" s="271"/>
      <c r="CV112" s="271"/>
      <c r="CW112" s="271"/>
      <c r="CX112" s="55"/>
      <c r="CY112" s="55"/>
      <c r="CZ112" s="55"/>
      <c r="DA112" s="55"/>
      <c r="DB112" s="55"/>
      <c r="DC112" s="55"/>
      <c r="DD112" s="55"/>
      <c r="DE112" s="55"/>
      <c r="DF112" s="55"/>
      <c r="DG112" s="55"/>
      <c r="DH112" s="55"/>
      <c r="DI112" s="55"/>
      <c r="DJ112" s="130"/>
      <c r="DK112" s="55"/>
      <c r="DL112" s="55"/>
      <c r="DM112" s="55"/>
      <c r="DN112" s="55"/>
      <c r="DO112" s="130"/>
      <c r="DP112" s="55"/>
      <c r="DQ112" s="55"/>
      <c r="DR112" s="55"/>
      <c r="DS112" s="55"/>
      <c r="DT112" s="55"/>
      <c r="DU112" s="55"/>
      <c r="DV112" s="55"/>
      <c r="DW112" s="55"/>
      <c r="DX112" s="55"/>
      <c r="DY112" s="55"/>
      <c r="DZ112" s="55"/>
      <c r="EA112" s="130"/>
      <c r="EB112" s="55"/>
      <c r="EC112" s="55"/>
      <c r="ED112" s="4"/>
      <c r="EE112" s="4"/>
      <c r="EF112" s="57"/>
      <c r="EG112" s="57"/>
      <c r="EH112" s="57"/>
      <c r="EI112" s="57"/>
      <c r="EJ112" s="117"/>
      <c r="EK112" s="55"/>
      <c r="EL112" s="4"/>
      <c r="EM112" s="277"/>
      <c r="EN112" s="277"/>
      <c r="EO112" s="277"/>
      <c r="EP112" s="277"/>
      <c r="EQ112" s="277"/>
      <c r="ER112" s="277"/>
      <c r="ES112" s="55"/>
      <c r="ET112" s="55"/>
      <c r="EU112" s="55"/>
      <c r="EV112" s="55"/>
      <c r="EW112" s="55"/>
      <c r="EX112" s="55"/>
      <c r="EY112" s="55"/>
      <c r="EZ112" s="55"/>
      <c r="FA112" s="55"/>
      <c r="FB112" s="55"/>
      <c r="FC112" s="55"/>
      <c r="FD112" s="55"/>
      <c r="FE112" s="130"/>
    </row>
    <row r="113" spans="1:161" ht="17.25" customHeight="1" x14ac:dyDescent="0.2">
      <c r="A113" s="124"/>
      <c r="B113" s="124"/>
      <c r="C113" s="124"/>
      <c r="D113" s="124"/>
      <c r="E113" s="124"/>
      <c r="F113" s="124"/>
      <c r="G113" s="124"/>
      <c r="H113" s="124"/>
      <c r="I113" s="124"/>
      <c r="J113" s="124"/>
      <c r="K113" s="124"/>
      <c r="L113" s="124"/>
      <c r="M113" s="124"/>
      <c r="N113" s="124"/>
      <c r="O113" s="124"/>
      <c r="P113" s="124"/>
      <c r="BJ113" s="55"/>
      <c r="BK113" s="55"/>
      <c r="BL113" s="130"/>
      <c r="BM113" s="55"/>
      <c r="BN113" s="55"/>
      <c r="BO113" s="55"/>
      <c r="BP113" s="55"/>
      <c r="BQ113" s="55"/>
      <c r="BR113" s="55"/>
      <c r="BS113" s="55"/>
      <c r="BT113" s="55"/>
      <c r="BU113" s="55"/>
      <c r="BV113" s="55"/>
      <c r="BW113" s="55"/>
      <c r="BX113" s="130"/>
      <c r="BY113" s="55"/>
      <c r="BZ113" s="55"/>
      <c r="CA113" s="4"/>
      <c r="CB113" s="4"/>
      <c r="CC113" s="4"/>
      <c r="CD113" s="4"/>
      <c r="CE113" s="4"/>
      <c r="CF113" s="4"/>
      <c r="CG113" s="4"/>
      <c r="CH113" s="55"/>
      <c r="CI113" s="55"/>
      <c r="CJ113" s="55"/>
      <c r="CK113" s="55"/>
      <c r="CL113" s="55"/>
      <c r="CM113" s="55"/>
      <c r="CN113" s="55"/>
      <c r="CO113" s="55"/>
      <c r="CP113" s="55"/>
      <c r="CQ113" s="4"/>
      <c r="CR113" s="4"/>
      <c r="CS113" s="4"/>
      <c r="CT113" s="4"/>
      <c r="CU113" s="4"/>
      <c r="CV113" s="4"/>
      <c r="CW113" s="4"/>
      <c r="CX113" s="55"/>
      <c r="CY113" s="55"/>
      <c r="CZ113" s="55"/>
      <c r="DA113" s="55"/>
      <c r="DB113" s="55"/>
      <c r="DC113" s="55"/>
      <c r="DD113" s="55"/>
      <c r="DE113" s="55"/>
      <c r="DF113" s="55"/>
      <c r="DG113" s="55"/>
      <c r="DH113" s="55"/>
      <c r="DI113" s="55"/>
      <c r="DJ113" s="130"/>
      <c r="DK113" s="55"/>
      <c r="DL113" s="55"/>
      <c r="DM113" s="55"/>
      <c r="DN113" s="55"/>
      <c r="DO113" s="130"/>
      <c r="DP113" s="55"/>
      <c r="DQ113" s="55"/>
      <c r="DR113" s="55"/>
      <c r="DS113" s="55"/>
      <c r="DT113" s="55"/>
      <c r="DU113" s="55"/>
      <c r="DV113" s="55"/>
      <c r="DW113" s="55"/>
      <c r="DX113" s="55"/>
      <c r="DY113" s="55"/>
      <c r="DZ113" s="55"/>
      <c r="EA113" s="130"/>
      <c r="EB113" s="55"/>
      <c r="EC113" s="55"/>
      <c r="ED113" s="4"/>
      <c r="EE113" s="4"/>
      <c r="EF113" s="57"/>
      <c r="EG113" s="57"/>
      <c r="EH113" s="57"/>
      <c r="EI113" s="57"/>
      <c r="EJ113" s="117"/>
      <c r="EK113" s="55"/>
      <c r="EL113" s="4"/>
      <c r="EM113" s="4"/>
      <c r="EN113" s="4"/>
      <c r="EO113" s="4"/>
      <c r="EP113" s="4"/>
      <c r="EQ113" s="4"/>
      <c r="ER113" s="4"/>
      <c r="ES113" s="55"/>
      <c r="ET113" s="55"/>
      <c r="EU113" s="55"/>
      <c r="EV113" s="55"/>
      <c r="EW113" s="55"/>
      <c r="EX113" s="55"/>
      <c r="EY113" s="55"/>
      <c r="EZ113" s="55"/>
      <c r="FA113" s="55"/>
      <c r="FB113" s="55"/>
      <c r="FC113" s="55"/>
      <c r="FD113" s="55"/>
      <c r="FE113" s="130"/>
    </row>
    <row r="114" spans="1:161" ht="17.25" customHeight="1" x14ac:dyDescent="0.2">
      <c r="A114" s="124"/>
      <c r="B114" s="124"/>
      <c r="C114" s="124"/>
      <c r="D114" s="124"/>
      <c r="E114" s="124"/>
      <c r="F114" s="124"/>
      <c r="G114" s="124"/>
      <c r="H114" s="124"/>
      <c r="I114" s="124"/>
      <c r="J114" s="124"/>
      <c r="K114" s="124"/>
      <c r="L114" s="124"/>
      <c r="M114" s="124"/>
      <c r="N114" s="124"/>
      <c r="O114" s="124"/>
      <c r="P114" s="124"/>
      <c r="BJ114" s="55"/>
      <c r="BK114" s="55"/>
      <c r="BL114" s="130"/>
      <c r="BM114" s="55"/>
      <c r="BN114" s="55"/>
      <c r="BO114" s="55"/>
      <c r="BP114" s="55"/>
      <c r="BQ114" s="55"/>
      <c r="BR114" s="55"/>
      <c r="BS114" s="55"/>
      <c r="BT114" s="55"/>
      <c r="BU114" s="55"/>
      <c r="BV114" s="55"/>
      <c r="BW114" s="55"/>
      <c r="BX114" s="130"/>
      <c r="BY114" s="55"/>
      <c r="BZ114" s="55"/>
      <c r="CA114" s="4"/>
      <c r="CB114" s="4"/>
      <c r="CC114" s="4"/>
      <c r="CD114" s="4"/>
      <c r="CE114" s="4"/>
      <c r="CF114" s="4"/>
      <c r="CG114" s="4"/>
      <c r="CH114" s="55"/>
      <c r="CI114" s="55"/>
      <c r="CJ114" s="55"/>
      <c r="CK114" s="55"/>
      <c r="CL114" s="55"/>
      <c r="CM114" s="55"/>
      <c r="CN114" s="55"/>
      <c r="CO114" s="55"/>
      <c r="CP114" s="55"/>
      <c r="CQ114" s="4"/>
      <c r="CR114" s="4"/>
      <c r="CS114" s="4"/>
      <c r="CT114" s="4"/>
      <c r="CU114" s="4"/>
      <c r="CV114" s="4"/>
      <c r="CW114" s="4"/>
      <c r="CX114" s="55"/>
      <c r="CY114" s="55"/>
      <c r="CZ114" s="55"/>
      <c r="DA114" s="55"/>
      <c r="DB114" s="55"/>
      <c r="DC114" s="55"/>
      <c r="DD114" s="55"/>
      <c r="DE114" s="55"/>
      <c r="DF114" s="55"/>
      <c r="DG114" s="55"/>
      <c r="DH114" s="55"/>
      <c r="DI114" s="55"/>
      <c r="DJ114" s="130"/>
      <c r="DK114" s="55"/>
      <c r="DL114" s="55"/>
      <c r="DM114" s="55"/>
      <c r="DN114" s="55"/>
      <c r="DO114" s="130"/>
      <c r="DP114" s="55"/>
      <c r="DQ114" s="55"/>
      <c r="DR114" s="55"/>
      <c r="DS114" s="55"/>
      <c r="DT114" s="55"/>
      <c r="DU114" s="55"/>
      <c r="DV114" s="55"/>
      <c r="DW114" s="55"/>
      <c r="DX114" s="55"/>
      <c r="DY114" s="55"/>
      <c r="DZ114" s="55"/>
      <c r="EA114" s="130"/>
      <c r="EB114" s="55"/>
      <c r="EC114" s="55"/>
      <c r="ED114" s="4"/>
      <c r="EE114" s="4"/>
      <c r="EF114" s="57"/>
      <c r="EG114" s="57"/>
      <c r="EH114" s="57"/>
      <c r="EI114" s="57"/>
      <c r="EJ114" s="117"/>
      <c r="EK114" s="55"/>
      <c r="EL114" s="4"/>
      <c r="EM114" s="4"/>
      <c r="EN114" s="4"/>
      <c r="EO114" s="4"/>
      <c r="EP114" s="4"/>
      <c r="EQ114" s="4"/>
      <c r="ER114" s="4"/>
      <c r="ES114" s="55"/>
      <c r="ET114" s="55"/>
      <c r="EU114" s="55"/>
      <c r="EV114" s="55"/>
      <c r="EW114" s="55"/>
      <c r="EX114" s="55"/>
      <c r="EY114" s="55"/>
      <c r="EZ114" s="55"/>
      <c r="FA114" s="55"/>
      <c r="FB114" s="55"/>
      <c r="FC114" s="55"/>
      <c r="FD114" s="55"/>
      <c r="FE114" s="130"/>
    </row>
    <row r="115" spans="1:161" ht="17.25" customHeight="1" x14ac:dyDescent="0.2">
      <c r="A115" s="124"/>
      <c r="B115" s="124"/>
      <c r="C115" s="124"/>
      <c r="D115" s="124"/>
      <c r="E115" s="124"/>
      <c r="F115" s="124"/>
      <c r="G115" s="124"/>
      <c r="H115" s="124"/>
      <c r="I115" s="124"/>
      <c r="J115" s="124"/>
      <c r="K115" s="124"/>
      <c r="L115" s="124"/>
      <c r="M115" s="124"/>
      <c r="N115" s="124"/>
      <c r="O115" s="124"/>
      <c r="P115" s="124"/>
      <c r="BJ115" s="55"/>
      <c r="BK115" s="55"/>
      <c r="BL115" s="130"/>
      <c r="BM115" s="55"/>
      <c r="BN115" s="55"/>
      <c r="BO115" s="55"/>
      <c r="BP115" s="55"/>
      <c r="BQ115" s="55"/>
      <c r="BR115" s="55"/>
      <c r="BS115" s="55"/>
      <c r="BT115" s="55"/>
      <c r="BU115" s="55"/>
      <c r="BV115" s="55"/>
      <c r="BW115" s="55"/>
      <c r="BX115" s="130"/>
      <c r="BY115" s="55"/>
      <c r="BZ115" s="55"/>
      <c r="CA115" s="4"/>
      <c r="CB115" s="4"/>
      <c r="CC115" s="4"/>
      <c r="CD115" s="4"/>
      <c r="CE115" s="4"/>
      <c r="CF115" s="4"/>
      <c r="CG115" s="4"/>
      <c r="CH115" s="55"/>
      <c r="CI115" s="55"/>
      <c r="CJ115" s="55"/>
      <c r="CK115" s="55"/>
      <c r="CL115" s="55"/>
      <c r="CM115" s="55"/>
      <c r="CN115" s="55"/>
      <c r="CO115" s="55"/>
      <c r="CP115" s="55"/>
      <c r="CQ115" s="4"/>
      <c r="CR115" s="4"/>
      <c r="CS115" s="4"/>
      <c r="CT115" s="4"/>
      <c r="CU115" s="4"/>
      <c r="CV115" s="4"/>
      <c r="CW115" s="4"/>
      <c r="CX115" s="55"/>
      <c r="CY115" s="55"/>
      <c r="CZ115" s="55"/>
      <c r="DA115" s="55"/>
      <c r="DB115" s="55"/>
      <c r="DC115" s="55"/>
      <c r="DD115" s="55"/>
      <c r="DE115" s="55"/>
      <c r="DF115" s="55"/>
      <c r="DG115" s="55"/>
      <c r="DH115" s="55"/>
      <c r="DI115" s="55"/>
      <c r="DJ115" s="130"/>
      <c r="DK115" s="55"/>
      <c r="DL115" s="55"/>
      <c r="DM115" s="55"/>
      <c r="DN115" s="55"/>
      <c r="DO115" s="130"/>
      <c r="DP115" s="55"/>
      <c r="DQ115" s="55"/>
      <c r="DR115" s="55"/>
      <c r="DS115" s="55"/>
      <c r="DT115" s="55"/>
      <c r="DU115" s="55"/>
      <c r="DV115" s="55"/>
      <c r="DW115" s="55"/>
      <c r="DX115" s="55"/>
      <c r="DY115" s="55"/>
      <c r="DZ115" s="55"/>
      <c r="EA115" s="130"/>
      <c r="EB115" s="55"/>
      <c r="EC115" s="55"/>
      <c r="ED115" s="55"/>
      <c r="EE115" s="55"/>
      <c r="EF115" s="55"/>
      <c r="EG115" s="55"/>
      <c r="EH115" s="55"/>
      <c r="EI115" s="55"/>
      <c r="EJ115" s="55"/>
      <c r="EK115" s="55"/>
      <c r="EL115" s="4"/>
      <c r="EM115" s="4"/>
      <c r="EN115" s="4"/>
      <c r="EO115" s="4"/>
      <c r="EP115" s="4"/>
      <c r="EQ115" s="4"/>
      <c r="ER115" s="4"/>
      <c r="ES115" s="55"/>
      <c r="ET115" s="55"/>
      <c r="EU115" s="55"/>
      <c r="EV115" s="55"/>
      <c r="EW115" s="55"/>
      <c r="EX115" s="55"/>
      <c r="EY115" s="55"/>
      <c r="EZ115" s="55"/>
      <c r="FA115" s="55"/>
      <c r="FB115" s="55"/>
      <c r="FC115" s="55"/>
      <c r="FD115" s="55"/>
      <c r="FE115" s="130"/>
    </row>
    <row r="116" spans="1:161" ht="17.25" customHeight="1" x14ac:dyDescent="0.2">
      <c r="A116" s="124"/>
      <c r="B116" s="124"/>
      <c r="C116" s="124"/>
      <c r="D116" s="124"/>
      <c r="E116" s="124"/>
      <c r="F116" s="124"/>
      <c r="G116" s="124"/>
      <c r="H116" s="124"/>
      <c r="I116" s="124"/>
      <c r="J116" s="124"/>
      <c r="K116" s="124"/>
      <c r="L116" s="124"/>
      <c r="M116" s="124"/>
      <c r="N116" s="124"/>
      <c r="O116" s="124"/>
      <c r="P116" s="124"/>
      <c r="BJ116" s="55"/>
      <c r="BK116" s="55"/>
      <c r="BL116" s="130"/>
      <c r="BM116" s="55"/>
      <c r="BN116" s="55"/>
      <c r="BO116" s="55"/>
      <c r="BP116" s="55"/>
      <c r="BQ116" s="55"/>
      <c r="BR116" s="55"/>
      <c r="BS116" s="55"/>
      <c r="BT116" s="55"/>
      <c r="BU116" s="55"/>
      <c r="BV116" s="55"/>
      <c r="BW116" s="55"/>
      <c r="BX116" s="130"/>
      <c r="BY116" s="55"/>
      <c r="BZ116" s="55"/>
      <c r="CA116" s="4"/>
      <c r="CB116" s="4"/>
      <c r="CC116" s="4"/>
      <c r="CD116" s="4"/>
      <c r="CE116" s="4"/>
      <c r="CF116" s="4"/>
      <c r="CG116" s="4"/>
      <c r="CH116" s="55"/>
      <c r="CI116" s="55"/>
      <c r="CJ116" s="55"/>
      <c r="CK116" s="55"/>
      <c r="CL116" s="55"/>
      <c r="CM116" s="55"/>
      <c r="CN116" s="55"/>
      <c r="CO116" s="55"/>
      <c r="CP116" s="55"/>
      <c r="CQ116" s="4"/>
      <c r="CR116" s="4"/>
      <c r="CS116" s="4"/>
      <c r="CT116" s="4"/>
      <c r="CU116" s="4"/>
      <c r="CV116" s="4"/>
      <c r="CW116" s="4"/>
      <c r="CX116" s="55"/>
      <c r="CY116" s="55"/>
      <c r="CZ116" s="55"/>
      <c r="DA116" s="55"/>
      <c r="DB116" s="55"/>
      <c r="DC116" s="55"/>
      <c r="DD116" s="55"/>
      <c r="DE116" s="55"/>
      <c r="DF116" s="55"/>
      <c r="DG116" s="55"/>
      <c r="DH116" s="55"/>
      <c r="DI116" s="55"/>
      <c r="DJ116" s="130"/>
      <c r="DK116" s="55"/>
      <c r="DL116" s="55"/>
      <c r="DM116" s="55"/>
      <c r="DN116" s="55"/>
      <c r="DO116" s="130"/>
      <c r="DP116" s="55"/>
      <c r="DQ116" s="55"/>
      <c r="DR116" s="55"/>
      <c r="DS116" s="55"/>
      <c r="DT116" s="55"/>
      <c r="DU116" s="55"/>
      <c r="DV116" s="55"/>
      <c r="DW116" s="55"/>
      <c r="DX116" s="55"/>
      <c r="DY116" s="55"/>
      <c r="DZ116" s="55"/>
      <c r="EA116" s="130"/>
      <c r="EB116" s="55"/>
      <c r="EC116" s="55"/>
      <c r="ED116" s="55"/>
      <c r="EE116" s="55"/>
      <c r="EF116" s="55"/>
      <c r="EG116" s="55"/>
      <c r="EH116" s="55"/>
      <c r="EI116" s="55"/>
      <c r="EJ116" s="55"/>
      <c r="EK116" s="55"/>
      <c r="EL116" s="4"/>
      <c r="EM116" s="4"/>
      <c r="EN116" s="4"/>
      <c r="EO116" s="4"/>
      <c r="EP116" s="4"/>
      <c r="EQ116" s="4"/>
      <c r="ER116" s="4"/>
      <c r="ES116" s="55"/>
      <c r="ET116" s="55"/>
      <c r="EU116" s="55"/>
      <c r="EV116" s="55"/>
      <c r="EW116" s="55"/>
      <c r="EX116" s="55"/>
      <c r="EY116" s="55"/>
      <c r="EZ116" s="55"/>
      <c r="FA116" s="55"/>
      <c r="FB116" s="55"/>
      <c r="FC116" s="55"/>
      <c r="FD116" s="55"/>
      <c r="FE116" s="130"/>
    </row>
    <row r="117" spans="1:161" ht="17.25" customHeight="1" x14ac:dyDescent="0.2">
      <c r="A117" s="124"/>
      <c r="B117" s="124"/>
      <c r="C117" s="124"/>
      <c r="D117" s="124"/>
      <c r="E117" s="124"/>
      <c r="F117" s="124"/>
      <c r="G117" s="124"/>
      <c r="H117" s="124"/>
      <c r="I117" s="124"/>
      <c r="J117" s="124"/>
      <c r="K117" s="124"/>
      <c r="L117" s="124"/>
      <c r="M117" s="124"/>
      <c r="N117" s="124"/>
      <c r="O117" s="124"/>
      <c r="P117" s="124"/>
      <c r="BJ117" s="55"/>
      <c r="BK117" s="55"/>
      <c r="BL117" s="130"/>
      <c r="BM117" s="55"/>
      <c r="BN117" s="55"/>
      <c r="BO117" s="55"/>
      <c r="BP117" s="55"/>
      <c r="BQ117" s="55"/>
      <c r="BR117" s="55"/>
      <c r="BS117" s="55"/>
      <c r="BT117" s="55"/>
      <c r="BU117" s="55"/>
      <c r="BV117" s="55"/>
      <c r="BW117" s="55"/>
      <c r="BX117" s="130"/>
      <c r="BY117" s="55"/>
      <c r="BZ117" s="55"/>
      <c r="CA117" s="4"/>
      <c r="CB117" s="4"/>
      <c r="CC117" s="4"/>
      <c r="CD117" s="4"/>
      <c r="CE117" s="4"/>
      <c r="CF117" s="4"/>
      <c r="CG117" s="4"/>
      <c r="CH117" s="55"/>
      <c r="CI117" s="55"/>
      <c r="CJ117" s="55"/>
      <c r="CK117" s="55"/>
      <c r="CL117" s="55"/>
      <c r="CM117" s="55"/>
      <c r="CN117" s="55"/>
      <c r="CO117" s="55"/>
      <c r="CP117" s="55"/>
      <c r="CQ117" s="4"/>
      <c r="CR117" s="4"/>
      <c r="CS117" s="4"/>
      <c r="CT117" s="4"/>
      <c r="CU117" s="4"/>
      <c r="CV117" s="4"/>
      <c r="CW117" s="4"/>
      <c r="CX117" s="55"/>
      <c r="CY117" s="55"/>
      <c r="CZ117" s="55"/>
      <c r="DA117" s="55"/>
      <c r="DB117" s="55"/>
      <c r="DC117" s="55"/>
      <c r="DD117" s="55"/>
      <c r="DE117" s="55"/>
      <c r="DF117" s="55"/>
      <c r="DG117" s="55"/>
      <c r="DH117" s="55"/>
      <c r="DI117" s="55"/>
      <c r="DJ117" s="130"/>
      <c r="DK117" s="55"/>
      <c r="DL117" s="55"/>
      <c r="DM117" s="55"/>
      <c r="DN117" s="55"/>
      <c r="DO117" s="130"/>
      <c r="DP117" s="55"/>
      <c r="DQ117" s="55"/>
      <c r="DR117" s="55"/>
      <c r="DS117" s="55"/>
      <c r="DT117" s="55"/>
      <c r="DU117" s="55"/>
      <c r="DV117" s="55"/>
      <c r="DW117" s="55"/>
      <c r="DX117" s="55"/>
      <c r="DY117" s="55"/>
      <c r="DZ117" s="55"/>
      <c r="EA117" s="130"/>
      <c r="EB117" s="55"/>
      <c r="EC117" s="55"/>
      <c r="ED117" s="55"/>
      <c r="EE117" s="55"/>
      <c r="EF117" s="55"/>
      <c r="EG117" s="55"/>
      <c r="EH117" s="55"/>
      <c r="EI117" s="55"/>
      <c r="EJ117" s="55"/>
      <c r="EK117" s="55"/>
      <c r="EL117" s="4"/>
      <c r="EM117" s="4"/>
      <c r="EN117" s="4"/>
      <c r="EO117" s="4"/>
      <c r="EP117" s="4"/>
      <c r="EQ117" s="4"/>
      <c r="ER117" s="4"/>
      <c r="ES117" s="55"/>
      <c r="ET117" s="55"/>
      <c r="EU117" s="55"/>
      <c r="EV117" s="55"/>
      <c r="EW117" s="55"/>
      <c r="EX117" s="55"/>
      <c r="EY117" s="55"/>
      <c r="EZ117" s="55"/>
      <c r="FA117" s="55"/>
      <c r="FB117" s="55"/>
      <c r="FC117" s="55"/>
      <c r="FD117" s="55"/>
      <c r="FE117" s="130"/>
    </row>
    <row r="118" spans="1:161" ht="17.25" customHeight="1" x14ac:dyDescent="0.2">
      <c r="A118" s="124"/>
      <c r="B118" s="124"/>
      <c r="C118" s="124"/>
      <c r="D118" s="124"/>
      <c r="E118" s="124"/>
      <c r="F118" s="124"/>
      <c r="G118" s="124"/>
      <c r="H118" s="124"/>
      <c r="I118" s="124"/>
      <c r="J118" s="124"/>
      <c r="K118" s="124"/>
      <c r="L118" s="124"/>
      <c r="M118" s="124"/>
      <c r="N118" s="124"/>
      <c r="O118" s="124"/>
      <c r="P118" s="124"/>
      <c r="BJ118" s="55"/>
      <c r="BK118" s="55"/>
      <c r="BL118" s="130"/>
      <c r="BM118" s="55"/>
      <c r="BN118" s="55"/>
      <c r="BO118" s="55"/>
      <c r="BP118" s="55"/>
      <c r="BQ118" s="55"/>
      <c r="BR118" s="55"/>
      <c r="BS118" s="55"/>
      <c r="BT118" s="55"/>
      <c r="BU118" s="55"/>
      <c r="BV118" s="55"/>
      <c r="BW118" s="55"/>
      <c r="BX118" s="130"/>
      <c r="BY118" s="55"/>
      <c r="BZ118" s="55"/>
      <c r="CA118" s="4"/>
      <c r="CB118" s="4"/>
      <c r="CC118" s="4"/>
      <c r="CD118" s="4"/>
      <c r="CE118" s="4"/>
      <c r="CF118" s="4"/>
      <c r="CG118" s="4"/>
      <c r="CH118" s="55"/>
      <c r="CI118" s="55"/>
      <c r="CJ118" s="55"/>
      <c r="CK118" s="55"/>
      <c r="CL118" s="55"/>
      <c r="CM118" s="55"/>
      <c r="CN118" s="55"/>
      <c r="CO118" s="55"/>
      <c r="CP118" s="55"/>
      <c r="CQ118" s="4"/>
      <c r="CR118" s="4"/>
      <c r="CS118" s="4"/>
      <c r="CT118" s="4"/>
      <c r="CU118" s="4"/>
      <c r="CV118" s="4"/>
      <c r="CW118" s="4"/>
      <c r="CX118" s="55"/>
      <c r="CY118" s="55"/>
      <c r="CZ118" s="55"/>
      <c r="DA118" s="55"/>
      <c r="DB118" s="55"/>
      <c r="DC118" s="55"/>
      <c r="DD118" s="55"/>
      <c r="DE118" s="55"/>
      <c r="DF118" s="55"/>
      <c r="DG118" s="55"/>
      <c r="DH118" s="55"/>
      <c r="DI118" s="55"/>
      <c r="DJ118" s="130"/>
      <c r="DK118" s="55"/>
      <c r="DL118" s="55"/>
      <c r="DM118" s="55"/>
      <c r="DN118" s="55"/>
      <c r="DO118" s="130"/>
      <c r="DP118" s="55"/>
      <c r="DQ118" s="55"/>
      <c r="DR118" s="55"/>
      <c r="DS118" s="55"/>
      <c r="DT118" s="55"/>
      <c r="DU118" s="55"/>
      <c r="DV118" s="55"/>
      <c r="DW118" s="55"/>
      <c r="DX118" s="55"/>
      <c r="DY118" s="55"/>
      <c r="DZ118" s="55"/>
      <c r="EA118" s="130"/>
      <c r="EB118" s="55"/>
      <c r="EC118" s="55"/>
      <c r="ED118" s="55"/>
      <c r="EE118" s="55"/>
      <c r="EF118" s="55"/>
      <c r="EG118" s="55"/>
      <c r="EH118" s="55"/>
      <c r="EI118" s="55"/>
      <c r="EJ118" s="55"/>
      <c r="EK118" s="55"/>
      <c r="EL118" s="55"/>
      <c r="EM118" s="55"/>
      <c r="EN118" s="55"/>
      <c r="EO118" s="55"/>
      <c r="EP118" s="55"/>
      <c r="EQ118" s="55"/>
      <c r="ER118" s="55"/>
      <c r="ES118" s="55"/>
      <c r="ET118" s="55"/>
      <c r="EU118" s="55"/>
      <c r="EV118" s="55"/>
      <c r="EW118" s="55"/>
      <c r="EX118" s="55"/>
      <c r="EY118" s="55"/>
      <c r="EZ118" s="55"/>
      <c r="FA118" s="55"/>
      <c r="FB118" s="55"/>
      <c r="FC118" s="55"/>
      <c r="FD118" s="55"/>
      <c r="FE118" s="130"/>
    </row>
    <row r="119" spans="1:161" ht="17.25" customHeight="1" x14ac:dyDescent="0.2">
      <c r="A119" s="124"/>
      <c r="B119" s="124"/>
      <c r="C119" s="124"/>
      <c r="D119" s="124"/>
      <c r="E119" s="124"/>
      <c r="F119" s="124"/>
      <c r="G119" s="124"/>
      <c r="H119" s="124"/>
      <c r="I119" s="124"/>
      <c r="J119" s="124"/>
      <c r="K119" s="124"/>
      <c r="L119" s="124"/>
      <c r="M119" s="124"/>
      <c r="N119" s="124"/>
      <c r="O119" s="124"/>
      <c r="P119" s="124"/>
      <c r="BJ119" s="55"/>
      <c r="BK119" s="55"/>
      <c r="BL119" s="130"/>
      <c r="BM119" s="55"/>
      <c r="BN119" s="55"/>
      <c r="BO119" s="55"/>
      <c r="BP119" s="55"/>
      <c r="BQ119" s="55"/>
      <c r="BR119" s="55"/>
      <c r="BS119" s="55"/>
      <c r="BT119" s="55"/>
      <c r="BU119" s="55"/>
      <c r="BV119" s="55"/>
      <c r="BW119" s="55"/>
      <c r="BX119" s="130"/>
      <c r="BY119" s="55"/>
      <c r="BZ119" s="55"/>
      <c r="CA119" s="4"/>
      <c r="CB119" s="4"/>
      <c r="CC119" s="4"/>
      <c r="CD119" s="4"/>
      <c r="CE119" s="4"/>
      <c r="CF119" s="4"/>
      <c r="CG119" s="4"/>
      <c r="CH119" s="55"/>
      <c r="CI119" s="55"/>
      <c r="CJ119" s="55"/>
      <c r="CK119" s="55"/>
      <c r="CL119" s="55"/>
      <c r="CM119" s="55"/>
      <c r="CN119" s="55"/>
      <c r="CO119" s="55"/>
      <c r="CP119" s="55"/>
      <c r="CQ119" s="4"/>
      <c r="CR119" s="4"/>
      <c r="CS119" s="4"/>
      <c r="CT119" s="4"/>
      <c r="CU119" s="4"/>
      <c r="CV119" s="4"/>
      <c r="CW119" s="4"/>
      <c r="CX119" s="55"/>
      <c r="CY119" s="55"/>
      <c r="CZ119" s="55"/>
      <c r="DA119" s="55"/>
      <c r="DB119" s="55"/>
      <c r="DC119" s="55"/>
      <c r="DD119" s="55"/>
      <c r="DE119" s="55"/>
      <c r="DF119" s="55"/>
      <c r="DG119" s="55"/>
      <c r="DH119" s="55"/>
      <c r="DI119" s="55"/>
      <c r="DJ119" s="130"/>
      <c r="DK119" s="55"/>
      <c r="DL119" s="55"/>
      <c r="DM119" s="55"/>
      <c r="DN119" s="55"/>
      <c r="DO119" s="130"/>
      <c r="DP119" s="55"/>
      <c r="DQ119" s="55"/>
      <c r="DR119" s="55"/>
      <c r="DS119" s="55"/>
      <c r="DT119" s="55"/>
      <c r="DU119" s="55"/>
      <c r="DV119" s="55"/>
      <c r="DW119" s="55"/>
      <c r="DX119" s="55"/>
      <c r="DY119" s="55"/>
      <c r="DZ119" s="55"/>
      <c r="EA119" s="130"/>
      <c r="EB119" s="55"/>
      <c r="EC119" s="55"/>
      <c r="ED119" s="55"/>
      <c r="EE119" s="55"/>
      <c r="EF119" s="55"/>
      <c r="EG119" s="55"/>
      <c r="EH119" s="55"/>
      <c r="EI119" s="55"/>
      <c r="EJ119" s="55"/>
      <c r="EK119" s="55"/>
      <c r="EL119" s="55"/>
      <c r="EM119" s="55"/>
      <c r="EN119" s="55"/>
      <c r="EO119" s="55"/>
      <c r="EP119" s="55"/>
      <c r="EQ119" s="55"/>
      <c r="ER119" s="55"/>
      <c r="ES119" s="55"/>
      <c r="ET119" s="55"/>
      <c r="EU119" s="55"/>
      <c r="EV119" s="55"/>
      <c r="EW119" s="55"/>
      <c r="EX119" s="55"/>
      <c r="EY119" s="55"/>
      <c r="EZ119" s="55"/>
      <c r="FA119" s="55"/>
      <c r="FB119" s="55"/>
      <c r="FC119" s="55"/>
      <c r="FD119" s="55"/>
      <c r="FE119" s="130"/>
    </row>
    <row r="120" spans="1:161" ht="17.25" customHeight="1" x14ac:dyDescent="0.2">
      <c r="A120" s="124"/>
      <c r="B120" s="124"/>
      <c r="C120" s="124"/>
      <c r="D120" s="124"/>
      <c r="E120" s="124"/>
      <c r="F120" s="124"/>
      <c r="G120" s="124"/>
      <c r="H120" s="124"/>
      <c r="I120" s="124"/>
      <c r="J120" s="124"/>
      <c r="K120" s="124"/>
      <c r="L120" s="124"/>
      <c r="M120" s="124"/>
      <c r="N120" s="124"/>
      <c r="O120" s="124"/>
      <c r="P120" s="124"/>
      <c r="BJ120" s="55"/>
      <c r="BK120" s="55"/>
      <c r="BL120" s="130"/>
      <c r="BM120" s="55"/>
      <c r="BN120" s="55"/>
      <c r="BO120" s="55"/>
      <c r="BP120" s="55"/>
      <c r="BQ120" s="55"/>
      <c r="BR120" s="55"/>
      <c r="BS120" s="55"/>
      <c r="BT120" s="55"/>
      <c r="BU120" s="55"/>
      <c r="BV120" s="55"/>
      <c r="BW120" s="55"/>
      <c r="BX120" s="130"/>
      <c r="BY120" s="55"/>
      <c r="BZ120" s="55"/>
      <c r="CA120" s="4"/>
      <c r="CB120" s="4"/>
      <c r="CC120" s="4"/>
      <c r="CD120" s="4"/>
      <c r="CE120" s="4"/>
      <c r="CF120" s="4"/>
      <c r="CG120" s="4"/>
      <c r="CH120" s="55"/>
      <c r="CI120" s="55"/>
      <c r="CJ120" s="55"/>
      <c r="CK120" s="55"/>
      <c r="CL120" s="55"/>
      <c r="CM120" s="55"/>
      <c r="CN120" s="55"/>
      <c r="CO120" s="55"/>
      <c r="CP120" s="55"/>
      <c r="CQ120" s="4"/>
      <c r="CR120" s="4"/>
      <c r="CS120" s="4"/>
      <c r="CT120" s="4"/>
      <c r="CU120" s="4"/>
      <c r="CV120" s="4"/>
      <c r="CW120" s="4"/>
      <c r="CX120" s="55"/>
      <c r="CY120" s="55"/>
      <c r="CZ120" s="55"/>
      <c r="DA120" s="55"/>
      <c r="DB120" s="55"/>
      <c r="DC120" s="55"/>
      <c r="DD120" s="55"/>
      <c r="DE120" s="55"/>
      <c r="DF120" s="55"/>
      <c r="DG120" s="55"/>
      <c r="DH120" s="55"/>
      <c r="DI120" s="55"/>
      <c r="DJ120" s="130"/>
      <c r="DK120" s="55"/>
      <c r="DL120" s="55"/>
      <c r="DM120" s="55"/>
      <c r="DN120" s="55"/>
      <c r="DO120" s="130"/>
      <c r="DP120" s="55"/>
      <c r="DQ120" s="55"/>
      <c r="DR120" s="55"/>
      <c r="DS120" s="55"/>
      <c r="DT120" s="55"/>
      <c r="DU120" s="55"/>
      <c r="DV120" s="55"/>
      <c r="DW120" s="55"/>
      <c r="DX120" s="55"/>
      <c r="DY120" s="55"/>
      <c r="DZ120" s="55"/>
      <c r="EA120" s="130"/>
      <c r="EB120" s="55"/>
      <c r="EC120" s="55"/>
      <c r="ED120" s="55"/>
      <c r="EE120" s="55"/>
      <c r="EF120" s="55"/>
      <c r="EG120" s="55"/>
      <c r="EH120" s="55"/>
      <c r="EI120" s="55"/>
      <c r="EJ120" s="55"/>
      <c r="EK120" s="55"/>
      <c r="EL120" s="55"/>
      <c r="EM120" s="55"/>
      <c r="EN120" s="55"/>
      <c r="EO120" s="55"/>
      <c r="EP120" s="55"/>
      <c r="EQ120" s="55"/>
      <c r="ER120" s="55"/>
      <c r="ES120" s="55"/>
      <c r="ET120" s="55"/>
      <c r="EU120" s="55"/>
      <c r="EV120" s="55"/>
      <c r="EW120" s="55"/>
      <c r="EX120" s="55"/>
      <c r="EY120" s="55"/>
      <c r="EZ120" s="55"/>
      <c r="FA120" s="55"/>
      <c r="FB120" s="55"/>
      <c r="FC120" s="55"/>
      <c r="FD120" s="55"/>
      <c r="FE120" s="130"/>
    </row>
    <row r="121" spans="1:161" ht="17.25" customHeight="1" x14ac:dyDescent="0.2">
      <c r="A121" s="124"/>
      <c r="B121" s="124"/>
      <c r="C121" s="124"/>
      <c r="D121" s="124"/>
      <c r="E121" s="124"/>
      <c r="F121" s="124"/>
      <c r="G121" s="124"/>
      <c r="H121" s="124"/>
      <c r="I121" s="124"/>
      <c r="J121" s="124"/>
      <c r="K121" s="124"/>
      <c r="L121" s="124"/>
      <c r="M121" s="124"/>
      <c r="N121" s="124"/>
      <c r="O121" s="124"/>
      <c r="P121" s="124"/>
      <c r="BJ121" s="55"/>
      <c r="BK121" s="55"/>
      <c r="BL121" s="130"/>
      <c r="BM121" s="55"/>
      <c r="BN121" s="55"/>
      <c r="BO121" s="55"/>
      <c r="BP121" s="55"/>
      <c r="BQ121" s="55"/>
      <c r="BR121" s="55"/>
      <c r="BS121" s="55"/>
      <c r="BT121" s="55"/>
      <c r="BU121" s="55"/>
      <c r="BV121" s="55"/>
      <c r="BW121" s="55"/>
      <c r="BX121" s="130"/>
      <c r="BY121" s="55"/>
      <c r="BZ121" s="55"/>
      <c r="CA121" s="54"/>
      <c r="CB121" s="277"/>
      <c r="CC121" s="277"/>
      <c r="CD121" s="277"/>
      <c r="CE121" s="277"/>
      <c r="CF121" s="277"/>
      <c r="CG121" s="277"/>
      <c r="CH121" s="55"/>
      <c r="CI121" s="55"/>
      <c r="CJ121" s="55"/>
      <c r="CK121" s="55"/>
      <c r="CL121" s="55"/>
      <c r="CM121" s="55"/>
      <c r="CN121" s="55"/>
      <c r="CO121" s="55"/>
      <c r="CP121" s="55"/>
      <c r="CQ121" s="54"/>
      <c r="CR121" s="277"/>
      <c r="CS121" s="277"/>
      <c r="CT121" s="277"/>
      <c r="CU121" s="277"/>
      <c r="CV121" s="277"/>
      <c r="CW121" s="277"/>
      <c r="CX121" s="55"/>
      <c r="CY121" s="55"/>
      <c r="CZ121" s="55"/>
      <c r="DA121" s="55"/>
      <c r="DB121" s="55"/>
      <c r="DC121" s="55"/>
      <c r="DD121" s="55"/>
      <c r="DE121" s="55"/>
      <c r="DF121" s="55"/>
      <c r="DG121" s="55"/>
      <c r="DH121" s="55"/>
      <c r="DI121" s="55"/>
      <c r="DJ121" s="130"/>
      <c r="DK121" s="55"/>
      <c r="DL121" s="55"/>
      <c r="DM121" s="55"/>
      <c r="DN121" s="55"/>
      <c r="DO121" s="130"/>
      <c r="DP121" s="55"/>
      <c r="DQ121" s="55"/>
      <c r="DR121" s="55"/>
      <c r="DS121" s="55"/>
      <c r="DT121" s="55"/>
      <c r="DU121" s="55"/>
      <c r="DV121" s="55"/>
      <c r="DW121" s="55"/>
      <c r="DX121" s="55"/>
      <c r="DY121" s="55"/>
      <c r="DZ121" s="55"/>
      <c r="EA121" s="130"/>
      <c r="EB121" s="55"/>
      <c r="EC121" s="55"/>
      <c r="ED121" s="55"/>
      <c r="EE121" s="55"/>
      <c r="EF121" s="55"/>
      <c r="EG121" s="55"/>
      <c r="EH121" s="55"/>
      <c r="EI121" s="55"/>
      <c r="EJ121" s="55"/>
      <c r="EK121" s="55"/>
      <c r="EL121" s="55"/>
      <c r="EM121" s="55"/>
      <c r="EN121" s="55"/>
      <c r="EO121" s="55"/>
      <c r="EP121" s="55"/>
      <c r="EQ121" s="55"/>
      <c r="ER121" s="55"/>
      <c r="ES121" s="55"/>
      <c r="ET121" s="55"/>
      <c r="EU121" s="55"/>
      <c r="EV121" s="55"/>
      <c r="EW121" s="55"/>
      <c r="EX121" s="55"/>
      <c r="EY121" s="55"/>
      <c r="EZ121" s="55"/>
      <c r="FA121" s="55"/>
      <c r="FB121" s="55"/>
      <c r="FC121" s="55"/>
      <c r="FD121" s="55"/>
      <c r="FE121" s="130"/>
    </row>
    <row r="122" spans="1:161" ht="17.25" customHeight="1" x14ac:dyDescent="0.2">
      <c r="A122" s="124"/>
      <c r="B122" s="124"/>
      <c r="C122" s="124"/>
      <c r="D122" s="124"/>
      <c r="E122" s="124"/>
      <c r="F122" s="124"/>
      <c r="G122" s="124"/>
      <c r="H122" s="124"/>
      <c r="I122" s="124"/>
      <c r="J122" s="124"/>
      <c r="K122" s="124"/>
      <c r="L122" s="124"/>
      <c r="M122" s="124"/>
      <c r="N122" s="124"/>
      <c r="O122" s="124"/>
      <c r="P122" s="124"/>
      <c r="BJ122" s="55"/>
      <c r="BK122" s="55"/>
      <c r="BL122" s="130"/>
      <c r="BM122" s="55"/>
      <c r="BN122" s="55"/>
      <c r="BO122" s="55"/>
      <c r="BP122" s="55"/>
      <c r="BQ122" s="55"/>
      <c r="BR122" s="55"/>
      <c r="BS122" s="55"/>
      <c r="BT122" s="55"/>
      <c r="BU122" s="55"/>
      <c r="BV122" s="55"/>
      <c r="BW122" s="55"/>
      <c r="BX122" s="130"/>
      <c r="BY122" s="55"/>
      <c r="BZ122" s="55"/>
      <c r="CA122" s="4"/>
      <c r="CB122" s="277"/>
      <c r="CC122" s="277"/>
      <c r="CD122" s="277"/>
      <c r="CE122" s="277"/>
      <c r="CF122" s="277"/>
      <c r="CG122" s="277"/>
      <c r="CH122" s="55"/>
      <c r="CI122" s="55"/>
      <c r="CJ122" s="55"/>
      <c r="CK122" s="55"/>
      <c r="CL122" s="55"/>
      <c r="CM122" s="55"/>
      <c r="CN122" s="55"/>
      <c r="CO122" s="55"/>
      <c r="CP122" s="55"/>
      <c r="CQ122" s="4"/>
      <c r="CR122" s="277"/>
      <c r="CS122" s="277"/>
      <c r="CT122" s="277"/>
      <c r="CU122" s="277"/>
      <c r="CV122" s="277"/>
      <c r="CW122" s="277"/>
      <c r="CX122" s="55"/>
      <c r="CY122" s="55"/>
      <c r="CZ122" s="55"/>
      <c r="DA122" s="55"/>
      <c r="DB122" s="55"/>
      <c r="DC122" s="55"/>
      <c r="DD122" s="55"/>
      <c r="DE122" s="55"/>
      <c r="DF122" s="55"/>
      <c r="DG122" s="55"/>
      <c r="DH122" s="55"/>
      <c r="DI122" s="55"/>
      <c r="DJ122" s="130"/>
      <c r="DK122" s="55"/>
      <c r="DL122" s="55"/>
      <c r="DM122" s="55"/>
      <c r="DN122" s="55"/>
      <c r="DO122" s="130"/>
      <c r="DP122" s="55"/>
      <c r="DQ122" s="55"/>
      <c r="DR122" s="55"/>
      <c r="DS122" s="55"/>
      <c r="DT122" s="55"/>
      <c r="DU122" s="55"/>
      <c r="DV122" s="55"/>
      <c r="DW122" s="55"/>
      <c r="DX122" s="55"/>
      <c r="DY122" s="55"/>
      <c r="DZ122" s="55"/>
      <c r="EA122" s="130"/>
      <c r="EB122" s="55"/>
      <c r="EC122" s="55"/>
      <c r="ED122" s="55"/>
      <c r="EE122" s="55"/>
      <c r="EF122" s="55"/>
      <c r="EG122" s="55"/>
      <c r="EH122" s="55"/>
      <c r="EI122" s="55"/>
      <c r="EJ122" s="55"/>
      <c r="EK122" s="55"/>
      <c r="EL122" s="55"/>
      <c r="EM122" s="55"/>
      <c r="EN122" s="55"/>
      <c r="EO122" s="55"/>
      <c r="EP122" s="55"/>
      <c r="EQ122" s="55"/>
      <c r="ER122" s="55"/>
      <c r="ES122" s="55"/>
      <c r="ET122" s="55"/>
      <c r="EU122" s="55"/>
      <c r="EV122" s="55"/>
      <c r="EW122" s="55"/>
      <c r="EX122" s="55"/>
      <c r="EY122" s="55"/>
      <c r="EZ122" s="55"/>
      <c r="FA122" s="55"/>
      <c r="FB122" s="55"/>
      <c r="FC122" s="55"/>
      <c r="FD122" s="55"/>
      <c r="FE122" s="130"/>
    </row>
    <row r="123" spans="1:161" ht="17.25" customHeight="1" x14ac:dyDescent="0.2">
      <c r="A123" s="124"/>
      <c r="B123" s="124"/>
      <c r="C123" s="124"/>
      <c r="D123" s="124"/>
      <c r="E123" s="124"/>
      <c r="F123" s="124"/>
      <c r="G123" s="124"/>
      <c r="H123" s="124"/>
      <c r="I123" s="124"/>
      <c r="J123" s="124"/>
      <c r="K123" s="124"/>
      <c r="L123" s="124"/>
      <c r="M123" s="124"/>
      <c r="N123" s="124"/>
      <c r="O123" s="124"/>
      <c r="P123" s="124"/>
      <c r="BJ123" s="55"/>
      <c r="BK123" s="55"/>
      <c r="BL123" s="130"/>
      <c r="BM123" s="55"/>
      <c r="BN123" s="55"/>
      <c r="BO123" s="55"/>
      <c r="BP123" s="55"/>
      <c r="BQ123" s="55"/>
      <c r="BR123" s="55"/>
      <c r="BS123" s="55"/>
      <c r="BT123" s="55"/>
      <c r="BU123" s="55"/>
      <c r="BV123" s="55"/>
      <c r="BW123" s="55"/>
      <c r="BX123" s="130"/>
      <c r="BY123" s="55"/>
      <c r="BZ123" s="55"/>
      <c r="CA123" s="4"/>
      <c r="CB123" s="277"/>
      <c r="CC123" s="277"/>
      <c r="CD123" s="277"/>
      <c r="CE123" s="277"/>
      <c r="CF123" s="277"/>
      <c r="CG123" s="277"/>
      <c r="CH123" s="55"/>
      <c r="CI123" s="55"/>
      <c r="CJ123" s="55"/>
      <c r="CK123" s="55"/>
      <c r="CL123" s="55"/>
      <c r="CM123" s="55"/>
      <c r="CN123" s="55"/>
      <c r="CO123" s="55"/>
      <c r="CP123" s="55"/>
      <c r="CQ123" s="4"/>
      <c r="CR123" s="277"/>
      <c r="CS123" s="277"/>
      <c r="CT123" s="277"/>
      <c r="CU123" s="277"/>
      <c r="CV123" s="277"/>
      <c r="CW123" s="277"/>
      <c r="CX123" s="55"/>
      <c r="CY123" s="55"/>
      <c r="CZ123" s="55"/>
      <c r="DA123" s="55"/>
      <c r="DB123" s="55"/>
      <c r="DC123" s="55"/>
      <c r="DD123" s="55"/>
      <c r="DE123" s="55"/>
      <c r="DF123" s="55"/>
      <c r="DG123" s="55"/>
      <c r="DH123" s="55"/>
      <c r="DI123" s="55"/>
      <c r="DJ123" s="130"/>
      <c r="DK123" s="55"/>
      <c r="DL123" s="55"/>
      <c r="DM123" s="55"/>
      <c r="DN123" s="55"/>
      <c r="DO123" s="130"/>
      <c r="DP123" s="55"/>
      <c r="DQ123" s="55"/>
      <c r="DR123" s="55"/>
      <c r="DS123" s="55"/>
      <c r="DT123" s="55"/>
      <c r="DU123" s="55"/>
      <c r="DV123" s="55"/>
      <c r="DW123" s="55"/>
      <c r="DX123" s="55"/>
      <c r="DY123" s="55"/>
      <c r="DZ123" s="55"/>
      <c r="EA123" s="130"/>
      <c r="EB123" s="55"/>
      <c r="EC123" s="55"/>
      <c r="ED123" s="55"/>
      <c r="EE123" s="55"/>
      <c r="EF123" s="55"/>
      <c r="EG123" s="55"/>
      <c r="EH123" s="55"/>
      <c r="EI123" s="55"/>
      <c r="EJ123" s="55"/>
      <c r="EK123" s="55"/>
      <c r="EL123" s="55"/>
      <c r="EM123" s="55"/>
      <c r="EN123" s="55"/>
      <c r="EO123" s="55"/>
      <c r="EP123" s="55"/>
      <c r="EQ123" s="55"/>
      <c r="ER123" s="55"/>
      <c r="ES123" s="55"/>
      <c r="ET123" s="55"/>
      <c r="EU123" s="55"/>
      <c r="EV123" s="55"/>
      <c r="EW123" s="55"/>
      <c r="EX123" s="55"/>
      <c r="EY123" s="55"/>
      <c r="EZ123" s="55"/>
      <c r="FA123" s="55"/>
      <c r="FB123" s="55"/>
      <c r="FC123" s="55"/>
      <c r="FD123" s="55"/>
      <c r="FE123" s="130"/>
    </row>
    <row r="124" spans="1:161" ht="17.25" customHeight="1" x14ac:dyDescent="0.2">
      <c r="A124" s="124"/>
      <c r="B124" s="124"/>
      <c r="C124" s="124"/>
      <c r="D124" s="124"/>
      <c r="E124" s="124"/>
      <c r="F124" s="124"/>
      <c r="G124" s="124"/>
      <c r="H124" s="124"/>
      <c r="I124" s="124"/>
      <c r="J124" s="124"/>
      <c r="K124" s="124"/>
      <c r="L124" s="124"/>
      <c r="M124" s="124"/>
      <c r="N124" s="124"/>
      <c r="O124" s="124"/>
      <c r="P124" s="124"/>
      <c r="BJ124" s="55"/>
      <c r="BK124" s="55"/>
      <c r="BL124" s="130"/>
      <c r="BM124" s="55"/>
      <c r="BN124" s="55"/>
      <c r="BO124" s="55"/>
      <c r="BP124" s="55"/>
      <c r="BQ124" s="55"/>
      <c r="BR124" s="55"/>
      <c r="BS124" s="55"/>
      <c r="BT124" s="55"/>
      <c r="BU124" s="55"/>
      <c r="BV124" s="55"/>
      <c r="BW124" s="55"/>
      <c r="BX124" s="130"/>
      <c r="BY124" s="55"/>
      <c r="BZ124" s="55"/>
      <c r="CA124" s="55"/>
      <c r="CB124" s="55"/>
      <c r="CC124" s="55"/>
      <c r="CD124" s="55"/>
      <c r="CE124" s="55"/>
      <c r="CF124" s="55"/>
      <c r="CG124" s="55"/>
      <c r="CH124" s="55"/>
      <c r="CI124" s="55"/>
      <c r="CJ124" s="55"/>
      <c r="CK124" s="55"/>
      <c r="CL124" s="55"/>
      <c r="CM124" s="55"/>
      <c r="CN124" s="55"/>
      <c r="CO124" s="55"/>
      <c r="CP124" s="55"/>
      <c r="CQ124" s="55"/>
      <c r="CR124" s="55"/>
      <c r="CS124" s="55"/>
      <c r="CT124" s="55"/>
      <c r="CU124" s="55"/>
      <c r="CV124" s="55"/>
      <c r="CW124" s="55"/>
      <c r="CX124" s="55"/>
      <c r="CY124" s="55"/>
      <c r="CZ124" s="55"/>
      <c r="DA124" s="55"/>
      <c r="DB124" s="55"/>
      <c r="DC124" s="55"/>
      <c r="DD124" s="55"/>
      <c r="DE124" s="55"/>
      <c r="DF124" s="55"/>
      <c r="DG124" s="55"/>
      <c r="DH124" s="55"/>
      <c r="DI124" s="55"/>
      <c r="DJ124" s="130"/>
      <c r="DK124" s="55"/>
      <c r="DL124" s="55"/>
      <c r="DM124" s="55"/>
      <c r="DN124" s="55"/>
      <c r="DO124" s="130"/>
      <c r="DP124" s="55"/>
      <c r="DQ124" s="55"/>
      <c r="DR124" s="55"/>
      <c r="DS124" s="55"/>
      <c r="DT124" s="55"/>
      <c r="DU124" s="55"/>
      <c r="DV124" s="55"/>
      <c r="DW124" s="55"/>
      <c r="DX124" s="55"/>
      <c r="DY124" s="55"/>
      <c r="DZ124" s="55"/>
      <c r="EA124" s="130"/>
      <c r="EB124" s="55"/>
      <c r="EC124" s="55"/>
      <c r="ED124" s="55"/>
      <c r="EE124" s="55"/>
      <c r="EF124" s="55"/>
      <c r="EG124" s="55"/>
      <c r="EH124" s="55"/>
      <c r="EI124" s="55"/>
      <c r="EJ124" s="55"/>
      <c r="EK124" s="55"/>
      <c r="EL124" s="55"/>
      <c r="EM124" s="55"/>
      <c r="EN124" s="55"/>
      <c r="EO124" s="55"/>
      <c r="EP124" s="55"/>
      <c r="EQ124" s="55"/>
      <c r="ER124" s="55"/>
      <c r="ES124" s="55"/>
      <c r="ET124" s="55"/>
      <c r="EU124" s="55"/>
      <c r="EV124" s="55"/>
      <c r="EW124" s="55"/>
      <c r="EX124" s="55"/>
      <c r="EY124" s="55"/>
      <c r="EZ124" s="55"/>
      <c r="FA124" s="55"/>
      <c r="FB124" s="55"/>
      <c r="FC124" s="55"/>
      <c r="FD124" s="55"/>
      <c r="FE124" s="130"/>
    </row>
    <row r="125" spans="1:161" ht="17.25" customHeight="1" x14ac:dyDescent="0.2">
      <c r="A125" s="124"/>
      <c r="B125" s="124"/>
      <c r="C125" s="124"/>
      <c r="D125" s="124"/>
      <c r="E125" s="124"/>
      <c r="F125" s="124"/>
      <c r="G125" s="124"/>
      <c r="H125" s="124"/>
      <c r="I125" s="124"/>
      <c r="J125" s="124"/>
      <c r="K125" s="124"/>
      <c r="L125" s="124"/>
      <c r="M125" s="124"/>
      <c r="N125" s="124"/>
      <c r="O125" s="124"/>
      <c r="P125" s="124"/>
      <c r="BJ125" s="55"/>
      <c r="BK125" s="55"/>
      <c r="BL125" s="130"/>
      <c r="BM125" s="55"/>
      <c r="BN125" s="55"/>
      <c r="BO125" s="55"/>
      <c r="BP125" s="55"/>
      <c r="BQ125" s="55"/>
      <c r="BR125" s="55"/>
      <c r="BS125" s="55"/>
      <c r="BT125" s="55"/>
      <c r="BU125" s="55"/>
      <c r="BV125" s="55"/>
      <c r="BW125" s="55"/>
      <c r="BX125" s="130"/>
      <c r="BY125" s="55"/>
      <c r="BZ125" s="55"/>
      <c r="CA125" s="55"/>
      <c r="CB125" s="55"/>
      <c r="CC125" s="55"/>
      <c r="CD125" s="55"/>
      <c r="CE125" s="55"/>
      <c r="CF125" s="55"/>
      <c r="CG125" s="55"/>
      <c r="CH125" s="55"/>
      <c r="CI125" s="55"/>
      <c r="CJ125" s="55"/>
      <c r="CK125" s="55"/>
      <c r="CL125" s="55"/>
      <c r="CM125" s="55"/>
      <c r="CN125" s="55"/>
      <c r="CO125" s="55"/>
      <c r="CP125" s="55"/>
      <c r="CQ125" s="55"/>
      <c r="CR125" s="55"/>
      <c r="CS125" s="55"/>
      <c r="CT125" s="55"/>
      <c r="CU125" s="55"/>
      <c r="CV125" s="55"/>
      <c r="CW125" s="55"/>
      <c r="CX125" s="55"/>
      <c r="CY125" s="55"/>
      <c r="CZ125" s="55"/>
      <c r="DA125" s="55"/>
      <c r="DB125" s="55"/>
      <c r="DC125" s="55"/>
      <c r="DD125" s="55"/>
      <c r="DE125" s="55"/>
      <c r="DF125" s="55"/>
      <c r="DG125" s="55"/>
      <c r="DH125" s="55"/>
      <c r="DI125" s="55"/>
      <c r="DJ125" s="130"/>
      <c r="DK125" s="55"/>
      <c r="DL125" s="55"/>
      <c r="DM125" s="55"/>
      <c r="DN125" s="55"/>
      <c r="DO125" s="130"/>
      <c r="DP125" s="55"/>
      <c r="DQ125" s="55"/>
      <c r="DR125" s="55"/>
      <c r="DS125" s="55"/>
      <c r="DT125" s="55"/>
      <c r="DU125" s="55"/>
      <c r="DV125" s="55"/>
      <c r="DW125" s="55"/>
      <c r="DX125" s="55"/>
      <c r="DY125" s="55"/>
      <c r="DZ125" s="55"/>
      <c r="EA125" s="130"/>
      <c r="EB125" s="55"/>
      <c r="EC125" s="55"/>
      <c r="ED125" s="55"/>
      <c r="EE125" s="55"/>
      <c r="EF125" s="55"/>
      <c r="EG125" s="55"/>
      <c r="EH125" s="55"/>
      <c r="EI125" s="55"/>
      <c r="EJ125" s="55"/>
      <c r="EK125" s="55"/>
      <c r="EL125" s="55"/>
      <c r="EM125" s="55"/>
      <c r="EN125" s="55"/>
      <c r="EO125" s="55"/>
      <c r="EP125" s="55"/>
      <c r="EQ125" s="55"/>
      <c r="ER125" s="55"/>
      <c r="ES125" s="55"/>
      <c r="ET125" s="55"/>
      <c r="EU125" s="55"/>
      <c r="EV125" s="55"/>
      <c r="EW125" s="55"/>
      <c r="EX125" s="55"/>
      <c r="EY125" s="55"/>
      <c r="EZ125" s="55"/>
      <c r="FA125" s="55"/>
      <c r="FB125" s="55"/>
      <c r="FC125" s="55"/>
      <c r="FD125" s="55"/>
      <c r="FE125" s="130"/>
    </row>
    <row r="126" spans="1:161" ht="17.25" customHeight="1" x14ac:dyDescent="0.2">
      <c r="A126" s="124"/>
      <c r="B126" s="124"/>
      <c r="C126" s="124"/>
      <c r="D126" s="124"/>
      <c r="E126" s="124"/>
      <c r="F126" s="124"/>
      <c r="G126" s="124"/>
      <c r="H126" s="124"/>
      <c r="I126" s="124"/>
      <c r="J126" s="124"/>
      <c r="K126" s="124"/>
      <c r="L126" s="124"/>
      <c r="M126" s="124"/>
      <c r="N126" s="124"/>
      <c r="O126" s="124"/>
      <c r="P126" s="124"/>
      <c r="BJ126" s="55"/>
      <c r="BK126" s="55"/>
      <c r="BL126" s="130"/>
      <c r="BM126" s="55"/>
      <c r="BN126" s="55"/>
      <c r="BO126" s="55"/>
      <c r="BP126" s="55"/>
      <c r="BQ126" s="55"/>
      <c r="BR126" s="55"/>
      <c r="BS126" s="55"/>
      <c r="BT126" s="55"/>
      <c r="BU126" s="55"/>
      <c r="BV126" s="55"/>
      <c r="BW126" s="55"/>
      <c r="BX126" s="130"/>
      <c r="BY126" s="55"/>
      <c r="BZ126" s="55"/>
      <c r="CA126" s="55"/>
      <c r="CB126" s="55"/>
      <c r="CC126" s="55"/>
      <c r="CD126" s="55"/>
      <c r="CE126" s="55"/>
      <c r="CF126" s="55"/>
      <c r="CG126" s="55"/>
      <c r="CH126" s="55"/>
      <c r="CI126" s="55"/>
      <c r="CJ126" s="55"/>
      <c r="CK126" s="55"/>
      <c r="CL126" s="55"/>
      <c r="CM126" s="55"/>
      <c r="CN126" s="55"/>
      <c r="CO126" s="55"/>
      <c r="CP126" s="55"/>
      <c r="CQ126" s="55"/>
      <c r="CR126" s="55"/>
      <c r="CS126" s="55"/>
      <c r="CT126" s="55"/>
      <c r="CU126" s="55"/>
      <c r="CV126" s="55"/>
      <c r="CW126" s="55"/>
      <c r="CX126" s="55"/>
      <c r="CY126" s="55"/>
      <c r="CZ126" s="55"/>
      <c r="DA126" s="55"/>
      <c r="DB126" s="55"/>
      <c r="DC126" s="55"/>
      <c r="DD126" s="55"/>
      <c r="DE126" s="55"/>
      <c r="DF126" s="55"/>
      <c r="DG126" s="55"/>
      <c r="DH126" s="55"/>
      <c r="DI126" s="55"/>
      <c r="DJ126" s="130"/>
      <c r="DK126" s="55"/>
      <c r="DL126" s="55"/>
      <c r="DM126" s="55"/>
      <c r="DN126" s="55"/>
      <c r="DO126" s="130"/>
      <c r="DP126" s="55"/>
      <c r="DQ126" s="55"/>
      <c r="DR126" s="55"/>
      <c r="DS126" s="55"/>
      <c r="DT126" s="55"/>
      <c r="DU126" s="55"/>
      <c r="DV126" s="55"/>
      <c r="DW126" s="55"/>
      <c r="DX126" s="55"/>
      <c r="DY126" s="55"/>
      <c r="DZ126" s="55"/>
      <c r="EA126" s="130"/>
      <c r="EB126" s="55"/>
      <c r="EC126" s="55"/>
      <c r="ED126" s="55"/>
      <c r="EE126" s="55"/>
      <c r="EF126" s="55"/>
      <c r="EG126" s="55"/>
      <c r="EH126" s="55"/>
      <c r="EI126" s="55"/>
      <c r="EJ126" s="55"/>
      <c r="EK126" s="55"/>
      <c r="EL126" s="55"/>
      <c r="EM126" s="55"/>
      <c r="EN126" s="55"/>
      <c r="EO126" s="55"/>
      <c r="EP126" s="55"/>
      <c r="EQ126" s="55"/>
      <c r="ER126" s="55"/>
      <c r="ES126" s="55"/>
      <c r="ET126" s="55"/>
      <c r="EU126" s="55"/>
      <c r="EV126" s="55"/>
      <c r="EW126" s="55"/>
      <c r="EX126" s="55"/>
      <c r="EY126" s="55"/>
      <c r="EZ126" s="55"/>
      <c r="FA126" s="55"/>
      <c r="FB126" s="55"/>
      <c r="FC126" s="55"/>
      <c r="FD126" s="55"/>
      <c r="FE126" s="130"/>
    </row>
    <row r="127" spans="1:161" ht="17.25" customHeight="1" x14ac:dyDescent="0.2">
      <c r="A127" s="124"/>
      <c r="B127" s="124"/>
      <c r="C127" s="124"/>
      <c r="D127" s="124"/>
      <c r="E127" s="124"/>
      <c r="F127" s="124"/>
      <c r="G127" s="124"/>
      <c r="H127" s="124"/>
      <c r="I127" s="124"/>
      <c r="J127" s="124"/>
      <c r="K127" s="124"/>
      <c r="L127" s="124"/>
      <c r="M127" s="124"/>
      <c r="N127" s="124"/>
      <c r="O127" s="124"/>
      <c r="P127" s="124"/>
      <c r="BJ127" s="55"/>
      <c r="BK127" s="55"/>
      <c r="BL127" s="130"/>
      <c r="BM127" s="55"/>
      <c r="BN127" s="55"/>
      <c r="BO127" s="55"/>
      <c r="BP127" s="55"/>
      <c r="BQ127" s="55"/>
      <c r="BR127" s="55"/>
      <c r="BS127" s="55"/>
      <c r="BT127" s="55"/>
      <c r="BU127" s="55"/>
      <c r="BV127" s="55"/>
      <c r="BW127" s="55"/>
      <c r="BX127" s="130"/>
      <c r="BY127" s="55"/>
      <c r="BZ127" s="55"/>
      <c r="CA127" s="55"/>
      <c r="CB127" s="55"/>
      <c r="CC127" s="55"/>
      <c r="CD127" s="55"/>
      <c r="CE127" s="55"/>
      <c r="CF127" s="55"/>
      <c r="CG127" s="55"/>
      <c r="CH127" s="55"/>
      <c r="CI127" s="55"/>
      <c r="CJ127" s="55"/>
      <c r="CK127" s="55"/>
      <c r="CL127" s="55"/>
      <c r="CM127" s="55"/>
      <c r="CN127" s="55"/>
      <c r="CO127" s="55"/>
      <c r="CP127" s="55"/>
      <c r="CQ127" s="55"/>
      <c r="CR127" s="55"/>
      <c r="CS127" s="55"/>
      <c r="CT127" s="55"/>
      <c r="CU127" s="55"/>
      <c r="CV127" s="55"/>
      <c r="CW127" s="55"/>
      <c r="CX127" s="55"/>
      <c r="CY127" s="55"/>
      <c r="CZ127" s="55"/>
      <c r="DA127" s="55"/>
      <c r="DB127" s="55"/>
      <c r="DC127" s="55"/>
      <c r="DD127" s="55"/>
      <c r="DE127" s="55"/>
      <c r="DF127" s="55"/>
      <c r="DG127" s="55"/>
      <c r="DH127" s="55"/>
      <c r="DI127" s="55"/>
      <c r="DJ127" s="130"/>
      <c r="DK127" s="55"/>
      <c r="DL127" s="55"/>
      <c r="DM127" s="55"/>
      <c r="DN127" s="55"/>
      <c r="DO127" s="130"/>
      <c r="DP127" s="55"/>
      <c r="DQ127" s="55"/>
      <c r="DR127" s="55"/>
      <c r="DS127" s="55"/>
      <c r="DT127" s="55"/>
      <c r="DU127" s="55"/>
      <c r="DV127" s="55"/>
      <c r="DW127" s="55"/>
      <c r="DX127" s="55"/>
      <c r="DY127" s="55"/>
      <c r="DZ127" s="55"/>
      <c r="EA127" s="130"/>
      <c r="EB127" s="55"/>
      <c r="EC127" s="55"/>
      <c r="ED127" s="55"/>
      <c r="EE127" s="55"/>
      <c r="EF127" s="55"/>
      <c r="EG127" s="55"/>
      <c r="EH127" s="55"/>
      <c r="EI127" s="55"/>
      <c r="EJ127" s="55"/>
      <c r="EK127" s="55"/>
      <c r="EL127" s="55"/>
      <c r="EM127" s="55"/>
      <c r="EN127" s="55"/>
      <c r="EO127" s="55"/>
      <c r="EP127" s="55"/>
      <c r="EQ127" s="55"/>
      <c r="ER127" s="55"/>
      <c r="ES127" s="55"/>
      <c r="ET127" s="55"/>
      <c r="EU127" s="55"/>
      <c r="EV127" s="55"/>
      <c r="EW127" s="55"/>
      <c r="EX127" s="55"/>
      <c r="EY127" s="55"/>
      <c r="EZ127" s="55"/>
      <c r="FA127" s="55"/>
      <c r="FB127" s="55"/>
      <c r="FC127" s="55"/>
      <c r="FD127" s="55"/>
      <c r="FE127" s="130"/>
    </row>
    <row r="128" spans="1:161" ht="17.25" customHeight="1" x14ac:dyDescent="0.2">
      <c r="A128" s="124"/>
      <c r="B128" s="124"/>
      <c r="C128" s="124"/>
      <c r="D128" s="124"/>
      <c r="E128" s="124"/>
      <c r="F128" s="124"/>
      <c r="G128" s="124"/>
      <c r="H128" s="124"/>
      <c r="I128" s="124"/>
      <c r="J128" s="124"/>
      <c r="K128" s="124"/>
      <c r="L128" s="124"/>
      <c r="M128" s="124"/>
      <c r="N128" s="124"/>
      <c r="O128" s="124"/>
      <c r="P128" s="124"/>
      <c r="BJ128" s="55"/>
      <c r="BK128" s="55"/>
      <c r="BL128" s="130"/>
      <c r="BM128" s="55"/>
      <c r="BN128" s="55"/>
      <c r="BO128" s="55"/>
      <c r="BP128" s="55"/>
      <c r="BQ128" s="55"/>
      <c r="BR128" s="55"/>
      <c r="BS128" s="55"/>
      <c r="BT128" s="55"/>
      <c r="BU128" s="55"/>
      <c r="BV128" s="55"/>
      <c r="BW128" s="55"/>
      <c r="BX128" s="130"/>
      <c r="BY128" s="55"/>
      <c r="BZ128" s="55"/>
      <c r="CA128" s="55"/>
      <c r="CB128" s="55"/>
      <c r="CC128" s="55"/>
      <c r="CD128" s="55"/>
      <c r="CE128" s="55"/>
      <c r="CF128" s="55"/>
      <c r="CG128" s="55"/>
      <c r="CH128" s="55"/>
      <c r="CI128" s="55"/>
      <c r="CJ128" s="55"/>
      <c r="CK128" s="55"/>
      <c r="CL128" s="55"/>
      <c r="CM128" s="55"/>
      <c r="CN128" s="55"/>
      <c r="CO128" s="55"/>
      <c r="CP128" s="55"/>
      <c r="CQ128" s="55"/>
      <c r="CR128" s="55"/>
      <c r="CS128" s="55"/>
      <c r="CT128" s="55"/>
      <c r="CU128" s="55"/>
      <c r="CV128" s="55"/>
      <c r="CW128" s="55"/>
      <c r="CX128" s="55"/>
      <c r="CY128" s="55"/>
      <c r="CZ128" s="55"/>
      <c r="DA128" s="55"/>
      <c r="DB128" s="55"/>
      <c r="DC128" s="55"/>
      <c r="DD128" s="55"/>
      <c r="DE128" s="55"/>
      <c r="DF128" s="55"/>
      <c r="DG128" s="55"/>
      <c r="DH128" s="55"/>
      <c r="DI128" s="55"/>
      <c r="DJ128" s="130"/>
      <c r="DK128" s="55"/>
      <c r="DL128" s="55"/>
      <c r="DM128" s="55"/>
      <c r="DN128" s="55"/>
      <c r="DO128" s="130"/>
      <c r="DP128" s="55"/>
      <c r="DQ128" s="55"/>
      <c r="DR128" s="55"/>
      <c r="DS128" s="55"/>
      <c r="DT128" s="55"/>
      <c r="DU128" s="55"/>
      <c r="DV128" s="55"/>
      <c r="DW128" s="55"/>
      <c r="DX128" s="55"/>
      <c r="DY128" s="55"/>
      <c r="DZ128" s="55"/>
      <c r="EA128" s="130"/>
      <c r="EB128" s="55"/>
      <c r="EC128" s="55"/>
      <c r="ED128" s="55"/>
      <c r="EE128" s="55"/>
      <c r="EF128" s="55"/>
      <c r="EG128" s="55"/>
      <c r="EH128" s="55"/>
      <c r="EI128" s="55"/>
      <c r="EJ128" s="55"/>
      <c r="EK128" s="55"/>
      <c r="EL128" s="55"/>
      <c r="EM128" s="55"/>
      <c r="EN128" s="55"/>
      <c r="EO128" s="55"/>
      <c r="EP128" s="55"/>
      <c r="EQ128" s="55"/>
      <c r="ER128" s="55"/>
      <c r="ES128" s="55"/>
      <c r="ET128" s="55"/>
      <c r="EU128" s="55"/>
      <c r="EV128" s="55"/>
      <c r="EW128" s="55"/>
      <c r="EX128" s="55"/>
      <c r="EY128" s="55"/>
      <c r="EZ128" s="55"/>
      <c r="FA128" s="55"/>
      <c r="FB128" s="55"/>
      <c r="FC128" s="55"/>
      <c r="FD128" s="55"/>
      <c r="FE128" s="130"/>
    </row>
    <row r="129" spans="1:161" ht="17.25" customHeight="1" x14ac:dyDescent="0.2">
      <c r="A129" s="124"/>
      <c r="B129" s="124"/>
      <c r="C129" s="124"/>
      <c r="D129" s="124"/>
      <c r="E129" s="124"/>
      <c r="F129" s="124"/>
      <c r="G129" s="124"/>
      <c r="H129" s="124"/>
      <c r="I129" s="124"/>
      <c r="J129" s="124"/>
      <c r="K129" s="124"/>
      <c r="L129" s="124"/>
      <c r="M129" s="124"/>
      <c r="N129" s="124"/>
      <c r="O129" s="124"/>
      <c r="P129" s="124"/>
      <c r="BJ129" s="55"/>
      <c r="BK129" s="55"/>
      <c r="BL129" s="130"/>
      <c r="BM129" s="55"/>
      <c r="BN129" s="55"/>
      <c r="BO129" s="55"/>
      <c r="BP129" s="55"/>
      <c r="BQ129" s="55"/>
      <c r="BR129" s="55"/>
      <c r="BS129" s="55"/>
      <c r="BT129" s="55"/>
      <c r="BU129" s="55"/>
      <c r="BV129" s="55"/>
      <c r="BW129" s="55"/>
      <c r="BX129" s="130"/>
      <c r="BY129" s="55"/>
      <c r="BZ129" s="55"/>
      <c r="CA129" s="55"/>
      <c r="CB129" s="55"/>
      <c r="CC129" s="55"/>
      <c r="CD129" s="55"/>
      <c r="CE129" s="55"/>
      <c r="CF129" s="55"/>
      <c r="CG129" s="55"/>
      <c r="CH129" s="55"/>
      <c r="CI129" s="55"/>
      <c r="CJ129" s="55"/>
      <c r="CK129" s="55"/>
      <c r="CL129" s="55"/>
      <c r="CM129" s="55"/>
      <c r="CN129" s="55"/>
      <c r="CO129" s="55"/>
      <c r="CP129" s="55"/>
      <c r="CQ129" s="55"/>
      <c r="CR129" s="55"/>
      <c r="CS129" s="55"/>
      <c r="CT129" s="55"/>
      <c r="CU129" s="55"/>
      <c r="CV129" s="55"/>
      <c r="CW129" s="55"/>
      <c r="CX129" s="55"/>
      <c r="CY129" s="55"/>
      <c r="CZ129" s="55"/>
      <c r="DA129" s="55"/>
      <c r="DB129" s="55"/>
      <c r="DC129" s="55"/>
      <c r="DD129" s="55"/>
      <c r="DE129" s="55"/>
      <c r="DF129" s="55"/>
      <c r="DG129" s="55"/>
      <c r="DH129" s="55"/>
      <c r="DI129" s="55"/>
      <c r="DJ129" s="130"/>
      <c r="DK129" s="55"/>
      <c r="DL129" s="55"/>
      <c r="DM129" s="55"/>
      <c r="DN129" s="55"/>
      <c r="DO129" s="130"/>
      <c r="DP129" s="55"/>
      <c r="DQ129" s="55"/>
      <c r="DR129" s="55"/>
      <c r="DS129" s="55"/>
      <c r="DT129" s="55"/>
      <c r="DU129" s="55"/>
      <c r="DV129" s="55"/>
      <c r="DW129" s="55"/>
      <c r="DX129" s="55"/>
      <c r="DY129" s="55"/>
      <c r="DZ129" s="55"/>
      <c r="EA129" s="130"/>
      <c r="EB129" s="55"/>
      <c r="EC129" s="55"/>
      <c r="ED129" s="55"/>
      <c r="EE129" s="55"/>
      <c r="EF129" s="55"/>
      <c r="EG129" s="55"/>
      <c r="EH129" s="55"/>
      <c r="EI129" s="55"/>
      <c r="EJ129" s="55"/>
      <c r="EK129" s="55"/>
      <c r="EL129" s="55"/>
      <c r="EM129" s="55"/>
      <c r="EN129" s="55"/>
      <c r="EO129" s="55"/>
      <c r="EP129" s="55"/>
      <c r="EQ129" s="55"/>
      <c r="ER129" s="55"/>
      <c r="ES129" s="55"/>
      <c r="ET129" s="55"/>
      <c r="EU129" s="55"/>
      <c r="EV129" s="55"/>
      <c r="EW129" s="55"/>
      <c r="EX129" s="55"/>
      <c r="EY129" s="55"/>
      <c r="EZ129" s="55"/>
      <c r="FA129" s="55"/>
      <c r="FB129" s="55"/>
      <c r="FC129" s="55"/>
      <c r="FD129" s="55"/>
      <c r="FE129" s="130"/>
    </row>
    <row r="130" spans="1:161" ht="44.25" customHeight="1" x14ac:dyDescent="0.45">
      <c r="A130" s="150"/>
      <c r="B130" s="150"/>
      <c r="C130" s="150"/>
      <c r="D130" s="150"/>
      <c r="E130" s="150"/>
      <c r="F130" s="150"/>
      <c r="G130" s="150"/>
      <c r="H130" s="150"/>
      <c r="I130" s="150"/>
      <c r="J130" s="150"/>
      <c r="K130" s="150"/>
      <c r="L130" s="150"/>
      <c r="M130" s="150"/>
      <c r="N130" s="150"/>
      <c r="O130" s="150"/>
      <c r="P130" s="150"/>
      <c r="Q130" s="150"/>
      <c r="R130" s="150"/>
      <c r="S130" s="150"/>
      <c r="T130" s="150"/>
      <c r="U130" s="150"/>
      <c r="V130" s="150"/>
      <c r="W130" s="150"/>
      <c r="X130" s="150"/>
      <c r="Y130" s="150"/>
      <c r="Z130" s="150"/>
      <c r="AA130" s="150"/>
      <c r="AB130" s="150"/>
      <c r="AC130" s="150"/>
      <c r="AD130" s="150"/>
      <c r="AE130" s="150"/>
      <c r="AF130" s="150"/>
      <c r="AG130" s="150"/>
      <c r="AH130" s="150"/>
      <c r="AI130" s="150"/>
      <c r="AJ130" s="150"/>
      <c r="AK130" s="150"/>
      <c r="AL130" s="150"/>
      <c r="AM130" s="150"/>
      <c r="AN130" s="150"/>
      <c r="AO130" s="150"/>
      <c r="AP130" s="150"/>
      <c r="AQ130" s="150"/>
      <c r="AR130" s="150"/>
      <c r="AS130" s="150"/>
      <c r="AT130" s="150"/>
      <c r="AU130" s="150"/>
      <c r="AV130" s="150"/>
      <c r="AW130" s="150"/>
      <c r="AX130" s="150"/>
      <c r="AY130" s="150"/>
      <c r="AZ130" s="150"/>
      <c r="BA130" s="150"/>
      <c r="BB130" s="150"/>
      <c r="BC130" s="150"/>
      <c r="BD130" s="150"/>
      <c r="BE130" s="150"/>
      <c r="BF130" s="150"/>
      <c r="BG130" s="150"/>
      <c r="BH130" s="150"/>
      <c r="BI130" s="150"/>
      <c r="BJ130" s="142"/>
      <c r="BK130" s="142"/>
      <c r="BL130" s="143"/>
      <c r="BM130" s="142"/>
      <c r="BN130" s="142"/>
      <c r="BO130" s="142"/>
      <c r="BP130" s="142"/>
      <c r="BQ130" s="142"/>
      <c r="BR130" s="142"/>
      <c r="BS130" s="142"/>
      <c r="BT130" s="142"/>
      <c r="BU130" s="142"/>
      <c r="BV130" s="142"/>
      <c r="BW130" s="142"/>
      <c r="BX130" s="143"/>
      <c r="BY130" s="142"/>
      <c r="BZ130" s="142"/>
      <c r="CA130" s="141" t="s">
        <v>138</v>
      </c>
      <c r="CB130" s="141"/>
      <c r="CC130" s="141"/>
      <c r="CD130" s="141"/>
      <c r="CE130" s="141"/>
      <c r="CF130" s="141"/>
      <c r="CG130" s="141"/>
      <c r="CH130" s="142"/>
      <c r="CI130" s="141" t="s">
        <v>139</v>
      </c>
      <c r="CJ130" s="141"/>
      <c r="CK130" s="141"/>
      <c r="CL130" s="141"/>
      <c r="CM130" s="141"/>
      <c r="CN130" s="141"/>
      <c r="CO130" s="141"/>
      <c r="CP130" s="142"/>
      <c r="CQ130" s="141" t="s">
        <v>140</v>
      </c>
      <c r="CR130" s="141"/>
      <c r="CS130" s="141"/>
      <c r="CT130" s="141"/>
      <c r="CU130" s="141"/>
      <c r="CV130" s="141"/>
      <c r="CW130" s="141"/>
      <c r="CX130" s="142"/>
      <c r="CY130" s="141" t="s">
        <v>141</v>
      </c>
      <c r="CZ130" s="141"/>
      <c r="DA130" s="141"/>
      <c r="DB130" s="141"/>
      <c r="DC130" s="141"/>
      <c r="DD130" s="141"/>
      <c r="DE130" s="141"/>
      <c r="DF130" s="142"/>
      <c r="DG130" s="142"/>
      <c r="DH130" s="142"/>
      <c r="DI130" s="142"/>
      <c r="DJ130" s="143"/>
      <c r="DK130" s="142"/>
      <c r="DL130" s="142"/>
      <c r="DM130" s="142"/>
      <c r="DN130" s="142"/>
      <c r="DO130" s="143"/>
      <c r="DP130" s="142"/>
      <c r="DQ130" s="142"/>
      <c r="DR130" s="142"/>
      <c r="DS130" s="142"/>
      <c r="DT130" s="142"/>
      <c r="DU130" s="142"/>
      <c r="DV130" s="142"/>
      <c r="DW130" s="142"/>
      <c r="DX130" s="142"/>
      <c r="DY130" s="142"/>
      <c r="DZ130" s="142"/>
      <c r="EA130" s="143"/>
      <c r="EB130" s="142"/>
      <c r="EC130" s="142"/>
      <c r="ED130" s="141" t="s">
        <v>170</v>
      </c>
      <c r="EE130" s="141"/>
      <c r="EF130" s="141"/>
      <c r="EG130" s="141"/>
      <c r="EH130" s="141"/>
      <c r="EI130" s="141"/>
      <c r="EJ130" s="141"/>
      <c r="EK130" s="142"/>
      <c r="EL130" s="141" t="s">
        <v>171</v>
      </c>
      <c r="EM130" s="141"/>
      <c r="EN130" s="141"/>
      <c r="EO130" s="141"/>
      <c r="EP130" s="141"/>
      <c r="EQ130" s="141"/>
      <c r="ER130" s="141"/>
      <c r="ES130" s="142"/>
      <c r="ET130" s="141" t="s">
        <v>172</v>
      </c>
      <c r="EU130" s="141"/>
      <c r="EV130" s="141"/>
      <c r="EW130" s="141"/>
      <c r="EX130" s="141"/>
      <c r="EY130" s="141"/>
      <c r="EZ130" s="141"/>
      <c r="FA130" s="142"/>
      <c r="FB130" s="142"/>
      <c r="FC130" s="142"/>
      <c r="FD130" s="142"/>
      <c r="FE130" s="130"/>
    </row>
    <row r="131" spans="1:161" ht="17.25" customHeight="1" x14ac:dyDescent="0.2">
      <c r="A131" s="124"/>
      <c r="B131" s="124"/>
      <c r="C131" s="124"/>
      <c r="D131" s="124"/>
      <c r="E131" s="124"/>
      <c r="F131" s="124"/>
      <c r="G131" s="124"/>
      <c r="H131" s="124"/>
      <c r="I131" s="124"/>
      <c r="J131" s="124"/>
      <c r="K131" s="124"/>
      <c r="L131" s="124"/>
      <c r="M131" s="124"/>
      <c r="N131" s="124"/>
      <c r="O131" s="124"/>
      <c r="P131" s="124"/>
      <c r="BJ131" s="55"/>
      <c r="BK131" s="55"/>
      <c r="BL131" s="130"/>
      <c r="BM131" s="55"/>
      <c r="BN131" s="55"/>
      <c r="BO131" s="55"/>
      <c r="BP131" s="55"/>
      <c r="BQ131" s="55"/>
      <c r="BR131" s="55"/>
      <c r="BS131" s="55"/>
      <c r="BT131" s="55"/>
      <c r="BU131" s="55"/>
      <c r="BV131" s="55"/>
      <c r="BW131" s="55"/>
      <c r="BX131" s="130"/>
      <c r="BY131" s="55"/>
      <c r="BZ131" s="55"/>
      <c r="CA131" s="55"/>
      <c r="CB131" s="55"/>
      <c r="CC131" s="55"/>
      <c r="CD131" s="55"/>
      <c r="CE131" s="55"/>
      <c r="CF131" s="55"/>
      <c r="CG131" s="55"/>
      <c r="CH131" s="55"/>
      <c r="CI131" s="55"/>
      <c r="CJ131" s="55"/>
      <c r="CK131" s="55"/>
      <c r="CL131" s="55"/>
      <c r="CM131" s="55"/>
      <c r="CN131" s="55"/>
      <c r="CO131" s="55"/>
      <c r="CP131" s="55"/>
      <c r="CQ131" s="55"/>
      <c r="CR131" s="55"/>
      <c r="CS131" s="55"/>
      <c r="CT131" s="55"/>
      <c r="CU131" s="55"/>
      <c r="CV131" s="55"/>
      <c r="CW131" s="55"/>
      <c r="CX131" s="55"/>
      <c r="CY131" s="55"/>
      <c r="CZ131" s="55"/>
      <c r="DA131" s="55"/>
      <c r="DB131" s="55"/>
      <c r="DC131" s="55"/>
      <c r="DD131" s="55"/>
      <c r="DE131" s="55"/>
      <c r="DF131" s="55"/>
      <c r="DG131" s="55"/>
      <c r="DH131" s="55"/>
      <c r="DI131" s="55"/>
      <c r="DJ131" s="130"/>
      <c r="DK131" s="55"/>
      <c r="DL131" s="55"/>
      <c r="DM131" s="55"/>
      <c r="DN131" s="55"/>
      <c r="DO131" s="130"/>
      <c r="DP131" s="55"/>
      <c r="DQ131" s="55"/>
      <c r="DR131" s="55"/>
      <c r="DS131" s="55"/>
      <c r="DT131" s="55"/>
      <c r="DU131" s="55"/>
      <c r="DV131" s="55"/>
      <c r="DW131" s="55"/>
      <c r="DX131" s="55"/>
      <c r="DY131" s="55"/>
      <c r="DZ131" s="55"/>
      <c r="EA131" s="130"/>
      <c r="EB131" s="55"/>
      <c r="EC131" s="55"/>
      <c r="ED131" s="55"/>
      <c r="EE131" s="55"/>
      <c r="EF131" s="55"/>
      <c r="EG131" s="55"/>
      <c r="EH131" s="55"/>
      <c r="EI131" s="55"/>
      <c r="EJ131" s="55"/>
      <c r="EK131" s="55"/>
      <c r="EL131" s="55"/>
      <c r="EM131" s="55"/>
      <c r="EN131" s="55"/>
      <c r="EO131" s="55"/>
      <c r="EP131" s="55"/>
      <c r="EQ131" s="55"/>
      <c r="ER131" s="55"/>
      <c r="ES131" s="55"/>
      <c r="ET131" s="55"/>
      <c r="EU131" s="55"/>
      <c r="EV131" s="55"/>
      <c r="EW131" s="55"/>
      <c r="EX131" s="55"/>
      <c r="EY131" s="55"/>
      <c r="EZ131" s="55"/>
      <c r="FA131" s="55"/>
      <c r="FB131" s="55"/>
      <c r="FC131" s="55"/>
      <c r="FD131" s="55"/>
      <c r="FE131" s="130"/>
    </row>
    <row r="132" spans="1:161" ht="17.25" customHeight="1" x14ac:dyDescent="0.2">
      <c r="A132" s="124"/>
      <c r="B132" s="124"/>
      <c r="C132" s="124"/>
      <c r="D132" s="124"/>
      <c r="E132" s="124"/>
      <c r="F132" s="124"/>
      <c r="G132" s="124"/>
      <c r="H132" s="124"/>
      <c r="I132" s="124"/>
      <c r="J132" s="124"/>
      <c r="K132" s="124"/>
      <c r="L132" s="124"/>
      <c r="M132" s="124"/>
      <c r="N132" s="124"/>
      <c r="O132" s="124"/>
      <c r="P132" s="124"/>
      <c r="BJ132" s="55"/>
      <c r="BK132" s="55"/>
      <c r="BL132" s="130"/>
      <c r="BM132" s="55"/>
      <c r="BN132" s="55"/>
      <c r="BO132" s="55"/>
      <c r="BP132" s="55"/>
      <c r="BQ132" s="55"/>
      <c r="BR132" s="55"/>
      <c r="BS132" s="55"/>
      <c r="BT132" s="55"/>
      <c r="BU132" s="55"/>
      <c r="BV132" s="55"/>
      <c r="BW132" s="55"/>
      <c r="BX132" s="130"/>
      <c r="BY132" s="55"/>
      <c r="BZ132" s="55"/>
      <c r="CA132" s="54" t="s">
        <v>63</v>
      </c>
      <c r="CB132" s="280" t="s">
        <v>98</v>
      </c>
      <c r="CC132" s="280"/>
      <c r="CD132" s="280"/>
      <c r="CE132" s="280"/>
      <c r="CF132" s="280"/>
      <c r="CG132" s="280"/>
      <c r="CH132" s="55"/>
      <c r="CI132" s="167" t="s">
        <v>189</v>
      </c>
      <c r="CJ132" s="280" t="s">
        <v>98</v>
      </c>
      <c r="CK132" s="280"/>
      <c r="CL132" s="280"/>
      <c r="CM132" s="280"/>
      <c r="CN132" s="280"/>
      <c r="CO132" s="280"/>
      <c r="CP132" s="55"/>
      <c r="CQ132" s="54" t="s">
        <v>63</v>
      </c>
      <c r="CR132" s="271" t="s">
        <v>98</v>
      </c>
      <c r="CS132" s="271"/>
      <c r="CT132" s="271"/>
      <c r="CU132" s="271"/>
      <c r="CV132" s="271"/>
      <c r="CW132" s="271"/>
      <c r="CX132" s="55"/>
      <c r="CY132" s="55"/>
      <c r="CZ132" s="55"/>
      <c r="DA132" s="55"/>
      <c r="DB132" s="55"/>
      <c r="DC132" s="55"/>
      <c r="DD132" s="55"/>
      <c r="DE132" s="55"/>
      <c r="DF132" s="55"/>
      <c r="DG132" s="55"/>
      <c r="DH132" s="55"/>
      <c r="DI132" s="55"/>
      <c r="DJ132" s="130"/>
      <c r="DK132" s="55"/>
      <c r="DL132" s="55"/>
      <c r="DM132" s="55"/>
      <c r="DN132" s="55"/>
      <c r="DO132" s="130"/>
      <c r="DP132" s="55"/>
      <c r="DQ132" s="55"/>
      <c r="DR132" s="55"/>
      <c r="DS132" s="55"/>
      <c r="DT132" s="55"/>
      <c r="DU132" s="55"/>
      <c r="DV132" s="55"/>
      <c r="DW132" s="55"/>
      <c r="DX132" s="55"/>
      <c r="DY132" s="55"/>
      <c r="DZ132" s="55"/>
      <c r="EA132" s="130"/>
      <c r="EB132" s="55"/>
      <c r="EC132" s="55"/>
      <c r="ED132" s="113" t="s">
        <v>63</v>
      </c>
      <c r="EE132" s="271" t="s">
        <v>99</v>
      </c>
      <c r="EF132" s="271"/>
      <c r="EG132" s="271"/>
      <c r="EH132" s="271"/>
      <c r="EI132" s="271"/>
      <c r="EJ132" s="271"/>
      <c r="EK132" s="55"/>
      <c r="EL132" s="113" t="s">
        <v>63</v>
      </c>
      <c r="EM132" s="271" t="s">
        <v>99</v>
      </c>
      <c r="EN132" s="271"/>
      <c r="EO132" s="271"/>
      <c r="EP132" s="271"/>
      <c r="EQ132" s="271"/>
      <c r="ER132" s="271"/>
      <c r="ES132" s="55"/>
      <c r="ET132" s="55"/>
      <c r="EU132" s="55"/>
      <c r="EV132" s="55"/>
      <c r="EW132" s="55"/>
      <c r="EX132" s="55"/>
      <c r="EY132" s="55"/>
      <c r="EZ132" s="55"/>
      <c r="FA132" s="55"/>
      <c r="FB132" s="55"/>
      <c r="FC132" s="55"/>
      <c r="FD132" s="55"/>
      <c r="FE132" s="130"/>
    </row>
    <row r="133" spans="1:161" ht="17.25" customHeight="1" x14ac:dyDescent="0.2">
      <c r="A133" s="124"/>
      <c r="B133" s="124"/>
      <c r="C133" s="124"/>
      <c r="D133" s="124"/>
      <c r="E133" s="124"/>
      <c r="F133" s="124"/>
      <c r="G133" s="124"/>
      <c r="H133" s="124"/>
      <c r="I133" s="124"/>
      <c r="J133" s="124"/>
      <c r="K133" s="124"/>
      <c r="L133" s="124"/>
      <c r="M133" s="124"/>
      <c r="N133" s="124"/>
      <c r="O133" s="124"/>
      <c r="P133" s="124"/>
      <c r="BJ133" s="55"/>
      <c r="BK133" s="55"/>
      <c r="BL133" s="130"/>
      <c r="BM133" s="55"/>
      <c r="BN133" s="55"/>
      <c r="BO133" s="55"/>
      <c r="BP133" s="55"/>
      <c r="BQ133" s="55"/>
      <c r="BR133" s="55"/>
      <c r="BS133" s="55"/>
      <c r="BT133" s="55"/>
      <c r="BU133" s="55"/>
      <c r="BV133" s="55"/>
      <c r="BW133" s="55"/>
      <c r="BX133" s="130"/>
      <c r="BY133" s="55"/>
      <c r="BZ133" s="55"/>
      <c r="CA133" s="21"/>
      <c r="CB133" s="280"/>
      <c r="CC133" s="280"/>
      <c r="CD133" s="280"/>
      <c r="CE133" s="280"/>
      <c r="CF133" s="280"/>
      <c r="CG133" s="280"/>
      <c r="CH133" s="55"/>
      <c r="CI133" s="168"/>
      <c r="CJ133" s="280"/>
      <c r="CK133" s="280"/>
      <c r="CL133" s="280"/>
      <c r="CM133" s="280"/>
      <c r="CN133" s="280"/>
      <c r="CO133" s="280"/>
      <c r="CP133" s="55"/>
      <c r="CQ133" s="21"/>
      <c r="CR133" s="96"/>
      <c r="CS133" s="96"/>
      <c r="CT133" s="96"/>
      <c r="CU133" s="96"/>
      <c r="CV133" s="96"/>
      <c r="CW133" s="96"/>
      <c r="CX133" s="55"/>
      <c r="CY133" s="55"/>
      <c r="CZ133" s="55"/>
      <c r="DA133" s="55"/>
      <c r="DB133" s="55"/>
      <c r="DC133" s="55"/>
      <c r="DD133" s="55"/>
      <c r="DE133" s="55"/>
      <c r="DF133" s="55"/>
      <c r="DG133" s="55"/>
      <c r="DH133" s="55"/>
      <c r="DI133" s="55"/>
      <c r="DJ133" s="130"/>
      <c r="DK133" s="55"/>
      <c r="DL133" s="55"/>
      <c r="DM133" s="55"/>
      <c r="DN133" s="55"/>
      <c r="DO133" s="130"/>
      <c r="DP133" s="55"/>
      <c r="DQ133" s="55"/>
      <c r="DR133" s="55"/>
      <c r="DS133" s="55"/>
      <c r="DT133" s="55"/>
      <c r="DU133" s="55"/>
      <c r="DV133" s="55"/>
      <c r="DW133" s="55"/>
      <c r="DX133" s="55"/>
      <c r="DY133" s="55"/>
      <c r="DZ133" s="55"/>
      <c r="EA133" s="130"/>
      <c r="EB133" s="55"/>
      <c r="EC133" s="55"/>
      <c r="ED133" s="112"/>
      <c r="EE133" s="271"/>
      <c r="EF133" s="271"/>
      <c r="EG133" s="271"/>
      <c r="EH133" s="271"/>
      <c r="EI133" s="271"/>
      <c r="EJ133" s="271"/>
      <c r="EK133" s="55"/>
      <c r="EL133" s="112"/>
      <c r="EM133" s="271"/>
      <c r="EN133" s="271"/>
      <c r="EO133" s="271"/>
      <c r="EP133" s="271"/>
      <c r="EQ133" s="271"/>
      <c r="ER133" s="271"/>
      <c r="ES133" s="55"/>
      <c r="ET133" s="55"/>
      <c r="EU133" s="55"/>
      <c r="EV133" s="55"/>
      <c r="EW133" s="55"/>
      <c r="EX133" s="55"/>
      <c r="EY133" s="55"/>
      <c r="EZ133" s="55"/>
      <c r="FA133" s="55"/>
      <c r="FB133" s="55"/>
      <c r="FC133" s="55"/>
      <c r="FD133" s="55"/>
      <c r="FE133" s="130"/>
    </row>
    <row r="134" spans="1:161" ht="17.25" customHeight="1" x14ac:dyDescent="0.2">
      <c r="A134" s="124"/>
      <c r="B134" s="124"/>
      <c r="C134" s="124"/>
      <c r="D134" s="124"/>
      <c r="E134" s="124"/>
      <c r="F134" s="124"/>
      <c r="G134" s="124"/>
      <c r="H134" s="124"/>
      <c r="I134" s="124"/>
      <c r="J134" s="124"/>
      <c r="K134" s="124"/>
      <c r="L134" s="124"/>
      <c r="M134" s="124"/>
      <c r="N134" s="124"/>
      <c r="O134" s="124"/>
      <c r="P134" s="124"/>
      <c r="BJ134" s="55"/>
      <c r="BK134" s="55"/>
      <c r="BL134" s="130"/>
      <c r="BM134" s="55"/>
      <c r="BN134" s="55"/>
      <c r="BO134" s="55"/>
      <c r="BP134" s="55"/>
      <c r="BQ134" s="55"/>
      <c r="BR134" s="55"/>
      <c r="BS134" s="55"/>
      <c r="BT134" s="55"/>
      <c r="BU134" s="55"/>
      <c r="BV134" s="55"/>
      <c r="BW134" s="55"/>
      <c r="BX134" s="130"/>
      <c r="BY134" s="55"/>
      <c r="BZ134" s="55"/>
      <c r="CA134" s="54" t="s">
        <v>64</v>
      </c>
      <c r="CB134" s="271" t="s">
        <v>99</v>
      </c>
      <c r="CC134" s="271"/>
      <c r="CD134" s="271"/>
      <c r="CE134" s="271"/>
      <c r="CF134" s="271"/>
      <c r="CG134" s="271"/>
      <c r="CH134" s="55"/>
      <c r="CI134" s="169"/>
      <c r="CJ134" s="279" t="s">
        <v>187</v>
      </c>
      <c r="CK134" s="279"/>
      <c r="CL134" s="279"/>
      <c r="CM134" s="279"/>
      <c r="CN134" s="279"/>
      <c r="CO134" s="279"/>
      <c r="CP134" s="55"/>
      <c r="CQ134" s="54" t="s">
        <v>64</v>
      </c>
      <c r="CR134" s="271" t="s">
        <v>99</v>
      </c>
      <c r="CS134" s="271"/>
      <c r="CT134" s="271"/>
      <c r="CU134" s="271"/>
      <c r="CV134" s="271"/>
      <c r="CW134" s="271"/>
      <c r="CX134" s="55"/>
      <c r="CY134" s="55"/>
      <c r="CZ134" s="55"/>
      <c r="DA134" s="55"/>
      <c r="DB134" s="55"/>
      <c r="DC134" s="55"/>
      <c r="DD134" s="55"/>
      <c r="DE134" s="55"/>
      <c r="DF134" s="55"/>
      <c r="DG134" s="55"/>
      <c r="DH134" s="55"/>
      <c r="DI134" s="55"/>
      <c r="DJ134" s="130"/>
      <c r="DK134" s="55"/>
      <c r="DL134" s="55"/>
      <c r="DM134" s="55"/>
      <c r="DN134" s="55"/>
      <c r="DO134" s="130"/>
      <c r="DP134" s="55"/>
      <c r="DQ134" s="55"/>
      <c r="DR134" s="55"/>
      <c r="DS134" s="55"/>
      <c r="DT134" s="55"/>
      <c r="DU134" s="55"/>
      <c r="DV134" s="55"/>
      <c r="DW134" s="55"/>
      <c r="DX134" s="55"/>
      <c r="DY134" s="55"/>
      <c r="DZ134" s="55"/>
      <c r="EA134" s="130"/>
      <c r="EB134" s="55"/>
      <c r="EC134" s="55"/>
      <c r="ED134" s="112"/>
      <c r="EE134" s="271"/>
      <c r="EF134" s="271"/>
      <c r="EG134" s="271"/>
      <c r="EH134" s="271"/>
      <c r="EI134" s="271"/>
      <c r="EJ134" s="271"/>
      <c r="EK134" s="55"/>
      <c r="EL134" s="55"/>
      <c r="EM134" s="55"/>
      <c r="EN134" s="55"/>
      <c r="EO134" s="55"/>
      <c r="EP134" s="55"/>
      <c r="EQ134" s="55"/>
      <c r="ER134" s="55"/>
      <c r="ES134" s="55"/>
      <c r="ET134" s="55"/>
      <c r="EU134" s="55"/>
      <c r="EV134" s="55"/>
      <c r="EW134" s="55"/>
      <c r="EX134" s="55"/>
      <c r="EY134" s="55"/>
      <c r="EZ134" s="55"/>
      <c r="FA134" s="55"/>
      <c r="FB134" s="55"/>
      <c r="FC134" s="55"/>
      <c r="FD134" s="55"/>
      <c r="FE134" s="130"/>
    </row>
    <row r="135" spans="1:161" ht="17.25" customHeight="1" x14ac:dyDescent="0.2">
      <c r="A135" s="124"/>
      <c r="B135" s="124"/>
      <c r="C135" s="124"/>
      <c r="D135" s="124"/>
      <c r="E135" s="124"/>
      <c r="F135" s="124"/>
      <c r="G135" s="124"/>
      <c r="H135" s="124"/>
      <c r="I135" s="124"/>
      <c r="J135" s="124"/>
      <c r="K135" s="124"/>
      <c r="L135" s="124"/>
      <c r="M135" s="124"/>
      <c r="N135" s="124"/>
      <c r="O135" s="124"/>
      <c r="P135" s="124"/>
      <c r="BJ135" s="55"/>
      <c r="BK135" s="55"/>
      <c r="BL135" s="130"/>
      <c r="BM135" s="55"/>
      <c r="BN135" s="55"/>
      <c r="BO135" s="55"/>
      <c r="BP135" s="55"/>
      <c r="BQ135" s="55"/>
      <c r="BR135" s="55"/>
      <c r="BS135" s="55"/>
      <c r="BT135" s="55"/>
      <c r="BU135" s="55"/>
      <c r="BV135" s="55"/>
      <c r="BW135" s="55"/>
      <c r="BX135" s="130"/>
      <c r="BY135" s="55"/>
      <c r="BZ135" s="55"/>
      <c r="CA135" s="4"/>
      <c r="CB135" s="271"/>
      <c r="CC135" s="271"/>
      <c r="CD135" s="271"/>
      <c r="CE135" s="271"/>
      <c r="CF135" s="271"/>
      <c r="CG135" s="271"/>
      <c r="CH135" s="55"/>
      <c r="CI135" s="170"/>
      <c r="CJ135" s="279"/>
      <c r="CK135" s="279"/>
      <c r="CL135" s="279"/>
      <c r="CM135" s="279"/>
      <c r="CN135" s="279"/>
      <c r="CO135" s="279"/>
      <c r="CP135" s="55"/>
      <c r="CQ135" s="4"/>
      <c r="CR135" s="271"/>
      <c r="CS135" s="271"/>
      <c r="CT135" s="271"/>
      <c r="CU135" s="271"/>
      <c r="CV135" s="271"/>
      <c r="CW135" s="271"/>
      <c r="CX135" s="55"/>
      <c r="CY135" s="55"/>
      <c r="CZ135" s="55"/>
      <c r="DA135" s="55"/>
      <c r="DB135" s="55"/>
      <c r="DC135" s="55"/>
      <c r="DD135" s="55"/>
      <c r="DE135" s="55"/>
      <c r="DF135" s="55"/>
      <c r="DG135" s="55"/>
      <c r="DH135" s="55"/>
      <c r="DI135" s="55"/>
      <c r="DJ135" s="130"/>
      <c r="DK135" s="55"/>
      <c r="DL135" s="55"/>
      <c r="DM135" s="55"/>
      <c r="DN135" s="55"/>
      <c r="DO135" s="130"/>
      <c r="DP135" s="55"/>
      <c r="DQ135" s="55"/>
      <c r="DR135" s="55"/>
      <c r="DS135" s="55"/>
      <c r="DT135" s="55"/>
      <c r="DU135" s="55"/>
      <c r="DV135" s="55"/>
      <c r="DW135" s="55"/>
      <c r="DX135" s="55"/>
      <c r="DY135" s="55"/>
      <c r="DZ135" s="55"/>
      <c r="EA135" s="130"/>
      <c r="EB135" s="55"/>
      <c r="EC135" s="55"/>
      <c r="ED135" s="113" t="s">
        <v>64</v>
      </c>
      <c r="EE135" s="271" t="s">
        <v>92</v>
      </c>
      <c r="EF135" s="271"/>
      <c r="EG135" s="271"/>
      <c r="EH135" s="271"/>
      <c r="EI135" s="271"/>
      <c r="EJ135" s="271"/>
      <c r="EK135" s="55"/>
      <c r="EL135" s="113" t="s">
        <v>64</v>
      </c>
      <c r="EM135" s="271" t="s">
        <v>92</v>
      </c>
      <c r="EN135" s="271"/>
      <c r="EO135" s="271"/>
      <c r="EP135" s="271"/>
      <c r="EQ135" s="271"/>
      <c r="ER135" s="271"/>
      <c r="ES135" s="55"/>
      <c r="ET135" s="55"/>
      <c r="EU135" s="55"/>
      <c r="EV135" s="55"/>
      <c r="EW135" s="55"/>
      <c r="EX135" s="55"/>
      <c r="EY135" s="55"/>
      <c r="EZ135" s="55"/>
      <c r="FA135" s="55"/>
      <c r="FB135" s="55"/>
      <c r="FC135" s="55"/>
      <c r="FD135" s="55"/>
      <c r="FE135" s="130"/>
    </row>
    <row r="136" spans="1:161" ht="17.25" customHeight="1" x14ac:dyDescent="0.2">
      <c r="A136" s="124"/>
      <c r="B136" s="124"/>
      <c r="C136" s="124"/>
      <c r="D136" s="124"/>
      <c r="E136" s="124"/>
      <c r="F136" s="124"/>
      <c r="G136" s="124"/>
      <c r="H136" s="124"/>
      <c r="I136" s="124"/>
      <c r="J136" s="124"/>
      <c r="K136" s="124"/>
      <c r="L136" s="124"/>
      <c r="M136" s="124"/>
      <c r="N136" s="124"/>
      <c r="O136" s="124"/>
      <c r="P136" s="124"/>
      <c r="BJ136" s="55"/>
      <c r="BK136" s="55"/>
      <c r="BL136" s="130"/>
      <c r="BM136" s="55"/>
      <c r="BN136" s="55"/>
      <c r="BO136" s="55"/>
      <c r="BP136" s="55"/>
      <c r="BQ136" s="55"/>
      <c r="BR136" s="55"/>
      <c r="BS136" s="55"/>
      <c r="BT136" s="55"/>
      <c r="BU136" s="55"/>
      <c r="BV136" s="55"/>
      <c r="BW136" s="55"/>
      <c r="BX136" s="130"/>
      <c r="BY136" s="55"/>
      <c r="BZ136" s="55"/>
      <c r="CA136" s="4"/>
      <c r="CB136" s="4"/>
      <c r="CC136" s="4"/>
      <c r="CD136" s="4"/>
      <c r="CE136" s="4"/>
      <c r="CF136" s="4"/>
      <c r="CG136" s="4"/>
      <c r="CH136" s="55"/>
      <c r="CI136" s="167"/>
      <c r="CJ136" s="279"/>
      <c r="CK136" s="279"/>
      <c r="CL136" s="279"/>
      <c r="CM136" s="279"/>
      <c r="CN136" s="279"/>
      <c r="CO136" s="279"/>
      <c r="CP136" s="55"/>
      <c r="CQ136" s="4"/>
      <c r="CR136" s="4"/>
      <c r="CS136" s="4"/>
      <c r="CT136" s="4"/>
      <c r="CU136" s="4"/>
      <c r="CV136" s="4"/>
      <c r="CW136" s="4"/>
      <c r="CX136" s="55"/>
      <c r="CY136" s="55"/>
      <c r="CZ136" s="55"/>
      <c r="DA136" s="55"/>
      <c r="DB136" s="55"/>
      <c r="DC136" s="55"/>
      <c r="DD136" s="55"/>
      <c r="DE136" s="55"/>
      <c r="DF136" s="55"/>
      <c r="DG136" s="55"/>
      <c r="DH136" s="55"/>
      <c r="DI136" s="55"/>
      <c r="DJ136" s="130"/>
      <c r="DK136" s="55"/>
      <c r="DL136" s="55"/>
      <c r="DM136" s="55"/>
      <c r="DN136" s="55"/>
      <c r="DO136" s="130"/>
      <c r="DP136" s="55"/>
      <c r="DQ136" s="55"/>
      <c r="DR136" s="55"/>
      <c r="DS136" s="55"/>
      <c r="DT136" s="55"/>
      <c r="DU136" s="55"/>
      <c r="DV136" s="55"/>
      <c r="DW136" s="55"/>
      <c r="DX136" s="55"/>
      <c r="DY136" s="55"/>
      <c r="DZ136" s="55"/>
      <c r="EA136" s="130"/>
      <c r="EB136" s="55"/>
      <c r="EC136" s="55"/>
      <c r="ED136" s="113"/>
      <c r="EE136" s="271"/>
      <c r="EF136" s="271"/>
      <c r="EG136" s="271"/>
      <c r="EH136" s="271"/>
      <c r="EI136" s="271"/>
      <c r="EJ136" s="271"/>
      <c r="EK136" s="55"/>
      <c r="EL136" s="113"/>
      <c r="EM136" s="271"/>
      <c r="EN136" s="271"/>
      <c r="EO136" s="271"/>
      <c r="EP136" s="271"/>
      <c r="EQ136" s="271"/>
      <c r="ER136" s="271"/>
      <c r="ES136" s="55"/>
      <c r="ET136" s="55"/>
      <c r="EU136" s="55"/>
      <c r="EV136" s="55"/>
      <c r="EW136" s="55"/>
      <c r="EX136" s="55"/>
      <c r="EY136" s="55"/>
      <c r="EZ136" s="55"/>
      <c r="FA136" s="55"/>
      <c r="FB136" s="55"/>
      <c r="FC136" s="55"/>
      <c r="FD136" s="55"/>
      <c r="FE136" s="130"/>
    </row>
    <row r="137" spans="1:161" ht="17.25" customHeight="1" x14ac:dyDescent="0.2">
      <c r="A137" s="124"/>
      <c r="B137" s="124"/>
      <c r="C137" s="124"/>
      <c r="D137" s="124"/>
      <c r="E137" s="124"/>
      <c r="F137" s="124"/>
      <c r="G137" s="124"/>
      <c r="H137" s="124"/>
      <c r="I137" s="124"/>
      <c r="J137" s="124"/>
      <c r="K137" s="124"/>
      <c r="L137" s="124"/>
      <c r="M137" s="124"/>
      <c r="N137" s="124"/>
      <c r="O137" s="124"/>
      <c r="P137" s="124"/>
      <c r="BJ137" s="55"/>
      <c r="BK137" s="55"/>
      <c r="BL137" s="130"/>
      <c r="BM137" s="55"/>
      <c r="BN137" s="55"/>
      <c r="BO137" s="55"/>
      <c r="BP137" s="55"/>
      <c r="BQ137" s="55"/>
      <c r="BR137" s="55"/>
      <c r="BS137" s="55"/>
      <c r="BT137" s="55"/>
      <c r="BU137" s="55"/>
      <c r="BV137" s="55"/>
      <c r="BW137" s="55"/>
      <c r="BX137" s="130"/>
      <c r="BY137" s="55"/>
      <c r="BZ137" s="55"/>
      <c r="CA137" s="54" t="s">
        <v>65</v>
      </c>
      <c r="CB137" s="277" t="s">
        <v>81</v>
      </c>
      <c r="CC137" s="277"/>
      <c r="CD137" s="277"/>
      <c r="CE137" s="277"/>
      <c r="CF137" s="277"/>
      <c r="CG137" s="277"/>
      <c r="CH137" s="55"/>
      <c r="CI137" s="167" t="s">
        <v>188</v>
      </c>
      <c r="CJ137" s="280" t="s">
        <v>99</v>
      </c>
      <c r="CK137" s="280"/>
      <c r="CL137" s="280"/>
      <c r="CM137" s="280"/>
      <c r="CN137" s="280"/>
      <c r="CO137" s="280"/>
      <c r="CP137" s="55"/>
      <c r="CQ137" s="54" t="s">
        <v>65</v>
      </c>
      <c r="CR137" s="277" t="s">
        <v>81</v>
      </c>
      <c r="CS137" s="277"/>
      <c r="CT137" s="277"/>
      <c r="CU137" s="277"/>
      <c r="CV137" s="277"/>
      <c r="CW137" s="277"/>
      <c r="CX137" s="55"/>
      <c r="CY137" s="55"/>
      <c r="CZ137" s="55"/>
      <c r="DA137" s="55"/>
      <c r="DB137" s="55"/>
      <c r="DC137" s="55"/>
      <c r="DD137" s="55"/>
      <c r="DE137" s="55"/>
      <c r="DF137" s="55"/>
      <c r="DG137" s="55"/>
      <c r="DH137" s="55"/>
      <c r="DI137" s="55"/>
      <c r="DJ137" s="130"/>
      <c r="DK137" s="55"/>
      <c r="DL137" s="55"/>
      <c r="DM137" s="55"/>
      <c r="DN137" s="55"/>
      <c r="DO137" s="130"/>
      <c r="DP137" s="55"/>
      <c r="DQ137" s="55"/>
      <c r="DR137" s="55"/>
      <c r="DS137" s="55"/>
      <c r="DT137" s="55"/>
      <c r="DU137" s="55"/>
      <c r="DV137" s="55"/>
      <c r="DW137" s="55"/>
      <c r="DX137" s="55"/>
      <c r="DY137" s="55"/>
      <c r="DZ137" s="55"/>
      <c r="EA137" s="130"/>
      <c r="EB137" s="55"/>
      <c r="EC137" s="55"/>
      <c r="ED137" s="112"/>
      <c r="EE137" s="271"/>
      <c r="EF137" s="271"/>
      <c r="EG137" s="271"/>
      <c r="EH137" s="271"/>
      <c r="EI137" s="271"/>
      <c r="EJ137" s="271"/>
      <c r="EK137" s="55"/>
      <c r="EL137" s="55"/>
      <c r="EM137" s="55"/>
      <c r="EN137" s="55"/>
      <c r="EO137" s="55"/>
      <c r="EP137" s="55"/>
      <c r="EQ137" s="55"/>
      <c r="ER137" s="55"/>
      <c r="ES137" s="55"/>
      <c r="ET137" s="55"/>
      <c r="EU137" s="55"/>
      <c r="EV137" s="55"/>
      <c r="EW137" s="55"/>
      <c r="EX137" s="55"/>
      <c r="EY137" s="55"/>
      <c r="EZ137" s="55"/>
      <c r="FA137" s="55"/>
      <c r="FB137" s="55"/>
      <c r="FC137" s="55"/>
      <c r="FD137" s="55"/>
      <c r="FE137" s="130"/>
    </row>
    <row r="138" spans="1:161" ht="17.25" customHeight="1" x14ac:dyDescent="0.2">
      <c r="A138" s="124"/>
      <c r="B138" s="124"/>
      <c r="C138" s="124"/>
      <c r="D138" s="124"/>
      <c r="E138" s="124"/>
      <c r="F138" s="124"/>
      <c r="G138" s="124"/>
      <c r="H138" s="124"/>
      <c r="I138" s="124"/>
      <c r="J138" s="124"/>
      <c r="K138" s="124"/>
      <c r="L138" s="124"/>
      <c r="M138" s="124"/>
      <c r="N138" s="124"/>
      <c r="O138" s="124"/>
      <c r="P138" s="124"/>
      <c r="BJ138" s="55"/>
      <c r="BK138" s="55"/>
      <c r="BL138" s="130"/>
      <c r="BM138" s="55"/>
      <c r="BN138" s="55"/>
      <c r="BO138" s="55"/>
      <c r="BP138" s="55"/>
      <c r="BQ138" s="55"/>
      <c r="BR138" s="55"/>
      <c r="BS138" s="55"/>
      <c r="BT138" s="55"/>
      <c r="BU138" s="55"/>
      <c r="BV138" s="55"/>
      <c r="BW138" s="55"/>
      <c r="BX138" s="130"/>
      <c r="BY138" s="55"/>
      <c r="BZ138" s="55"/>
      <c r="CA138" s="4"/>
      <c r="CB138" s="273" t="s">
        <v>95</v>
      </c>
      <c r="CC138" s="273"/>
      <c r="CD138" s="273"/>
      <c r="CE138" s="273"/>
      <c r="CF138" s="273"/>
      <c r="CG138" s="273"/>
      <c r="CH138" s="55"/>
      <c r="CI138" s="4"/>
      <c r="CJ138" s="280"/>
      <c r="CK138" s="280"/>
      <c r="CL138" s="280"/>
      <c r="CM138" s="280"/>
      <c r="CN138" s="280"/>
      <c r="CO138" s="280"/>
      <c r="CP138" s="55"/>
      <c r="CQ138" s="4"/>
      <c r="CR138" s="273" t="s">
        <v>95</v>
      </c>
      <c r="CS138" s="273"/>
      <c r="CT138" s="273"/>
      <c r="CU138" s="273"/>
      <c r="CV138" s="273"/>
      <c r="CW138" s="273"/>
      <c r="CX138" s="55"/>
      <c r="CY138" s="55"/>
      <c r="CZ138" s="55"/>
      <c r="DA138" s="55"/>
      <c r="DB138" s="55"/>
      <c r="DC138" s="55"/>
      <c r="DD138" s="55"/>
      <c r="DE138" s="55"/>
      <c r="DF138" s="55"/>
      <c r="DG138" s="55"/>
      <c r="DH138" s="55"/>
      <c r="DI138" s="55"/>
      <c r="DJ138" s="130"/>
      <c r="DK138" s="55"/>
      <c r="DL138" s="55"/>
      <c r="DM138" s="55"/>
      <c r="DN138" s="55"/>
      <c r="DO138" s="130"/>
      <c r="DP138" s="55"/>
      <c r="DQ138" s="55"/>
      <c r="DR138" s="55"/>
      <c r="DS138" s="55"/>
      <c r="DT138" s="55"/>
      <c r="DU138" s="55"/>
      <c r="DV138" s="55"/>
      <c r="DW138" s="55"/>
      <c r="DX138" s="55"/>
      <c r="DY138" s="55"/>
      <c r="DZ138" s="55"/>
      <c r="EA138" s="130"/>
      <c r="EB138" s="55"/>
      <c r="EC138" s="55"/>
      <c r="ED138" s="113" t="s">
        <v>65</v>
      </c>
      <c r="EE138" s="282" t="s">
        <v>91</v>
      </c>
      <c r="EF138" s="282"/>
      <c r="EG138" s="282"/>
      <c r="EH138" s="282"/>
      <c r="EI138" s="282"/>
      <c r="EJ138" s="282"/>
      <c r="EK138" s="55"/>
      <c r="EL138" s="113" t="s">
        <v>65</v>
      </c>
      <c r="EM138" s="282" t="s">
        <v>91</v>
      </c>
      <c r="EN138" s="282"/>
      <c r="EO138" s="282"/>
      <c r="EP138" s="282"/>
      <c r="EQ138" s="282"/>
      <c r="ER138" s="282"/>
      <c r="ES138" s="55"/>
      <c r="ET138" s="55"/>
      <c r="EU138" s="55"/>
      <c r="EV138" s="55"/>
      <c r="EW138" s="55"/>
      <c r="EX138" s="55"/>
      <c r="EY138" s="55"/>
      <c r="EZ138" s="55"/>
      <c r="FA138" s="55"/>
      <c r="FB138" s="55"/>
      <c r="FC138" s="55"/>
      <c r="FD138" s="55"/>
      <c r="FE138" s="130"/>
    </row>
    <row r="139" spans="1:161" ht="17.25" customHeight="1" x14ac:dyDescent="0.2">
      <c r="A139" s="124"/>
      <c r="B139" s="124"/>
      <c r="C139" s="124"/>
      <c r="D139" s="124"/>
      <c r="E139" s="124"/>
      <c r="F139" s="124"/>
      <c r="G139" s="124"/>
      <c r="H139" s="124"/>
      <c r="I139" s="124"/>
      <c r="J139" s="124"/>
      <c r="K139" s="124"/>
      <c r="L139" s="124"/>
      <c r="M139" s="124"/>
      <c r="N139" s="124"/>
      <c r="O139" s="124"/>
      <c r="P139" s="124"/>
      <c r="BJ139" s="55"/>
      <c r="BK139" s="55"/>
      <c r="BL139" s="130"/>
      <c r="BM139" s="55"/>
      <c r="BN139" s="55"/>
      <c r="BO139" s="55"/>
      <c r="BP139" s="55"/>
      <c r="BQ139" s="55"/>
      <c r="BR139" s="55"/>
      <c r="BS139" s="55"/>
      <c r="BT139" s="55"/>
      <c r="BU139" s="55"/>
      <c r="BV139" s="55"/>
      <c r="BW139" s="55"/>
      <c r="BX139" s="130"/>
      <c r="BY139" s="55"/>
      <c r="BZ139" s="55"/>
      <c r="CA139" s="4"/>
      <c r="CB139" s="273"/>
      <c r="CC139" s="273"/>
      <c r="CD139" s="273"/>
      <c r="CE139" s="273"/>
      <c r="CF139" s="273"/>
      <c r="CG139" s="273"/>
      <c r="CH139" s="55"/>
      <c r="CI139" s="55"/>
      <c r="CJ139" s="280"/>
      <c r="CK139" s="280"/>
      <c r="CL139" s="280"/>
      <c r="CM139" s="280"/>
      <c r="CN139" s="280"/>
      <c r="CO139" s="280"/>
      <c r="CP139" s="55"/>
      <c r="CQ139" s="4"/>
      <c r="CR139" s="273"/>
      <c r="CS139" s="273"/>
      <c r="CT139" s="273"/>
      <c r="CU139" s="273"/>
      <c r="CV139" s="273"/>
      <c r="CW139" s="273"/>
      <c r="CX139" s="55"/>
      <c r="CY139" s="55"/>
      <c r="CZ139" s="55"/>
      <c r="DA139" s="55"/>
      <c r="DB139" s="55"/>
      <c r="DC139" s="55"/>
      <c r="DD139" s="55"/>
      <c r="DE139" s="55"/>
      <c r="DF139" s="55"/>
      <c r="DG139" s="55"/>
      <c r="DH139" s="55"/>
      <c r="DI139" s="55"/>
      <c r="DJ139" s="130"/>
      <c r="DK139" s="55"/>
      <c r="DL139" s="55"/>
      <c r="DM139" s="55"/>
      <c r="DN139" s="55"/>
      <c r="DO139" s="130"/>
      <c r="DP139" s="55"/>
      <c r="DQ139" s="55"/>
      <c r="DR139" s="55"/>
      <c r="DS139" s="55"/>
      <c r="DT139" s="55"/>
      <c r="DU139" s="55"/>
      <c r="DV139" s="55"/>
      <c r="DW139" s="55"/>
      <c r="DX139" s="55"/>
      <c r="DY139" s="55"/>
      <c r="DZ139" s="55"/>
      <c r="EA139" s="130"/>
      <c r="EB139" s="55"/>
      <c r="EC139" s="55"/>
      <c r="ED139" s="112"/>
      <c r="EE139" s="282"/>
      <c r="EF139" s="282"/>
      <c r="EG139" s="282"/>
      <c r="EH139" s="282"/>
      <c r="EI139" s="282"/>
      <c r="EJ139" s="282"/>
      <c r="EK139" s="55"/>
      <c r="EL139" s="112"/>
      <c r="EM139" s="282"/>
      <c r="EN139" s="282"/>
      <c r="EO139" s="282"/>
      <c r="EP139" s="282"/>
      <c r="EQ139" s="282"/>
      <c r="ER139" s="282"/>
      <c r="ES139" s="55"/>
      <c r="ET139" s="55"/>
      <c r="EU139" s="55"/>
      <c r="EV139" s="55"/>
      <c r="EW139" s="55"/>
      <c r="EX139" s="55"/>
      <c r="EY139" s="55"/>
      <c r="EZ139" s="55"/>
      <c r="FA139" s="55"/>
      <c r="FB139" s="55"/>
      <c r="FC139" s="55"/>
      <c r="FD139" s="55"/>
      <c r="FE139" s="130"/>
    </row>
    <row r="140" spans="1:161" ht="17.25" customHeight="1" x14ac:dyDescent="0.2">
      <c r="A140" s="124"/>
      <c r="B140" s="124"/>
      <c r="C140" s="124"/>
      <c r="D140" s="124"/>
      <c r="E140" s="124"/>
      <c r="F140" s="124"/>
      <c r="G140" s="124"/>
      <c r="H140" s="124"/>
      <c r="I140" s="124"/>
      <c r="J140" s="124"/>
      <c r="K140" s="124"/>
      <c r="L140" s="124"/>
      <c r="M140" s="124"/>
      <c r="N140" s="124"/>
      <c r="O140" s="124"/>
      <c r="P140" s="124"/>
      <c r="BJ140" s="55"/>
      <c r="BK140" s="55"/>
      <c r="BL140" s="130"/>
      <c r="BM140" s="55"/>
      <c r="BN140" s="55"/>
      <c r="BO140" s="55"/>
      <c r="BP140" s="55"/>
      <c r="BQ140" s="55"/>
      <c r="BR140" s="55"/>
      <c r="BS140" s="55"/>
      <c r="BT140" s="55"/>
      <c r="BU140" s="55"/>
      <c r="BV140" s="55"/>
      <c r="BW140" s="55"/>
      <c r="BX140" s="130"/>
      <c r="BY140" s="55"/>
      <c r="BZ140" s="55"/>
      <c r="CA140" s="4"/>
      <c r="CB140" s="273"/>
      <c r="CC140" s="273"/>
      <c r="CD140" s="273"/>
      <c r="CE140" s="273"/>
      <c r="CF140" s="273"/>
      <c r="CG140" s="273"/>
      <c r="CH140" s="55"/>
      <c r="CI140" s="55"/>
      <c r="CJ140" s="55"/>
      <c r="CK140" s="55"/>
      <c r="CL140" s="55"/>
      <c r="CM140" s="55"/>
      <c r="CN140" s="55"/>
      <c r="CO140" s="55"/>
      <c r="CP140" s="55"/>
      <c r="CQ140" s="4"/>
      <c r="CR140" s="273"/>
      <c r="CS140" s="273"/>
      <c r="CT140" s="273"/>
      <c r="CU140" s="273"/>
      <c r="CV140" s="273"/>
      <c r="CW140" s="273"/>
      <c r="CX140" s="55"/>
      <c r="CY140" s="55"/>
      <c r="CZ140" s="55"/>
      <c r="DA140" s="55"/>
      <c r="DB140" s="55"/>
      <c r="DC140" s="55"/>
      <c r="DD140" s="55"/>
      <c r="DE140" s="55"/>
      <c r="DF140" s="55"/>
      <c r="DG140" s="55"/>
      <c r="DH140" s="55"/>
      <c r="DI140" s="55"/>
      <c r="DJ140" s="130"/>
      <c r="DK140" s="55"/>
      <c r="DL140" s="55"/>
      <c r="DM140" s="55"/>
      <c r="DN140" s="55"/>
      <c r="DO140" s="130"/>
      <c r="DP140" s="55"/>
      <c r="DQ140" s="55"/>
      <c r="DR140" s="55"/>
      <c r="DS140" s="55"/>
      <c r="DT140" s="55"/>
      <c r="DU140" s="55"/>
      <c r="DV140" s="55"/>
      <c r="DW140" s="55"/>
      <c r="DX140" s="55"/>
      <c r="DY140" s="55"/>
      <c r="DZ140" s="55"/>
      <c r="EA140" s="130"/>
      <c r="EB140" s="55"/>
      <c r="EC140" s="55"/>
      <c r="ED140" s="112"/>
      <c r="EE140" s="192"/>
      <c r="EF140" s="192"/>
      <c r="EG140" s="192"/>
      <c r="EH140" s="192"/>
      <c r="EI140" s="192"/>
      <c r="EJ140" s="192"/>
      <c r="EK140" s="55"/>
      <c r="EL140" s="55"/>
      <c r="EM140" s="55"/>
      <c r="EN140" s="55"/>
      <c r="EO140" s="55"/>
      <c r="EP140" s="55"/>
      <c r="EQ140" s="55"/>
      <c r="ER140" s="55"/>
      <c r="ES140" s="55"/>
      <c r="ET140" s="55"/>
      <c r="EU140" s="55"/>
      <c r="EV140" s="55"/>
      <c r="EW140" s="55"/>
      <c r="EX140" s="55"/>
      <c r="EY140" s="55"/>
      <c r="EZ140" s="55"/>
      <c r="FA140" s="55"/>
      <c r="FB140" s="55"/>
      <c r="FC140" s="55"/>
      <c r="FD140" s="55"/>
      <c r="FE140" s="130"/>
    </row>
    <row r="141" spans="1:161" ht="17.25" customHeight="1" x14ac:dyDescent="0.2">
      <c r="A141" s="124"/>
      <c r="B141" s="124"/>
      <c r="C141" s="124"/>
      <c r="D141" s="124"/>
      <c r="E141" s="124"/>
      <c r="F141" s="124"/>
      <c r="G141" s="124"/>
      <c r="H141" s="124"/>
      <c r="I141" s="124"/>
      <c r="J141" s="124"/>
      <c r="K141" s="124"/>
      <c r="L141" s="124"/>
      <c r="M141" s="124"/>
      <c r="N141" s="124"/>
      <c r="O141" s="124"/>
      <c r="P141" s="124"/>
      <c r="BJ141" s="55"/>
      <c r="BK141" s="55"/>
      <c r="BL141" s="130"/>
      <c r="BM141" s="55"/>
      <c r="BN141" s="55"/>
      <c r="BO141" s="55"/>
      <c r="BP141" s="55"/>
      <c r="BQ141" s="55"/>
      <c r="BR141" s="55"/>
      <c r="BS141" s="55"/>
      <c r="BT141" s="55"/>
      <c r="BU141" s="55"/>
      <c r="BV141" s="55"/>
      <c r="BW141" s="55"/>
      <c r="BX141" s="130"/>
      <c r="BY141" s="55"/>
      <c r="BZ141" s="55"/>
      <c r="CA141" s="4"/>
      <c r="CB141" s="4"/>
      <c r="CC141" s="4"/>
      <c r="CD141" s="4"/>
      <c r="CE141" s="4"/>
      <c r="CF141" s="4"/>
      <c r="CG141" s="4"/>
      <c r="CH141" s="55"/>
      <c r="CI141" s="55"/>
      <c r="CJ141" s="55"/>
      <c r="CK141" s="55"/>
      <c r="CL141" s="55"/>
      <c r="CM141" s="55"/>
      <c r="CN141" s="55"/>
      <c r="CO141" s="55"/>
      <c r="CP141" s="55"/>
      <c r="CQ141" s="4"/>
      <c r="CR141" s="119"/>
      <c r="CS141" s="119"/>
      <c r="CT141" s="119"/>
      <c r="CU141" s="119"/>
      <c r="CV141" s="119"/>
      <c r="CW141" s="119"/>
      <c r="CX141" s="55"/>
      <c r="CY141" s="55"/>
      <c r="CZ141" s="55"/>
      <c r="DA141" s="55"/>
      <c r="DB141" s="55"/>
      <c r="DC141" s="55"/>
      <c r="DD141" s="55"/>
      <c r="DE141" s="55"/>
      <c r="DF141" s="55"/>
      <c r="DG141" s="55"/>
      <c r="DH141" s="55"/>
      <c r="DI141" s="55"/>
      <c r="DJ141" s="130"/>
      <c r="DK141" s="55"/>
      <c r="DL141" s="55"/>
      <c r="DM141" s="55"/>
      <c r="DN141" s="55"/>
      <c r="DO141" s="130"/>
      <c r="DP141" s="55"/>
      <c r="DQ141" s="55"/>
      <c r="DR141" s="55"/>
      <c r="DS141" s="55"/>
      <c r="DT141" s="55"/>
      <c r="DU141" s="55"/>
      <c r="DV141" s="55"/>
      <c r="DW141" s="55"/>
      <c r="DX141" s="55"/>
      <c r="DY141" s="55"/>
      <c r="DZ141" s="55"/>
      <c r="EA141" s="130"/>
      <c r="EB141" s="55"/>
      <c r="EC141" s="55"/>
      <c r="ED141" s="112"/>
      <c r="EE141" s="192"/>
      <c r="EF141" s="192"/>
      <c r="EG141" s="192"/>
      <c r="EH141" s="192"/>
      <c r="EI141" s="192"/>
      <c r="EJ141" s="192"/>
      <c r="EK141" s="55"/>
      <c r="EL141" s="113" t="s">
        <v>66</v>
      </c>
      <c r="EM141" s="277" t="s">
        <v>107</v>
      </c>
      <c r="EN141" s="277"/>
      <c r="EO141" s="277"/>
      <c r="EP141" s="277"/>
      <c r="EQ141" s="277"/>
      <c r="ER141" s="277"/>
      <c r="ES141" s="55"/>
      <c r="ET141" s="55"/>
      <c r="EU141" s="55"/>
      <c r="EV141" s="55"/>
      <c r="EW141" s="55"/>
      <c r="EX141" s="55"/>
      <c r="EY141" s="55"/>
      <c r="EZ141" s="55"/>
      <c r="FA141" s="55"/>
      <c r="FB141" s="55"/>
      <c r="FC141" s="55"/>
      <c r="FD141" s="55"/>
      <c r="FE141" s="130"/>
    </row>
    <row r="142" spans="1:161" ht="17.25" customHeight="1" x14ac:dyDescent="0.2">
      <c r="A142" s="124"/>
      <c r="B142" s="124"/>
      <c r="C142" s="124"/>
      <c r="D142" s="124"/>
      <c r="E142" s="124"/>
      <c r="F142" s="124"/>
      <c r="G142" s="124"/>
      <c r="H142" s="124"/>
      <c r="I142" s="124"/>
      <c r="J142" s="124"/>
      <c r="K142" s="124"/>
      <c r="L142" s="124"/>
      <c r="M142" s="124"/>
      <c r="N142" s="124"/>
      <c r="O142" s="124"/>
      <c r="P142" s="124"/>
      <c r="BJ142" s="55"/>
      <c r="BK142" s="55"/>
      <c r="BL142" s="130"/>
      <c r="BM142" s="55"/>
      <c r="BN142" s="55"/>
      <c r="BO142" s="55"/>
      <c r="BP142" s="55"/>
      <c r="BQ142" s="55"/>
      <c r="BR142" s="55"/>
      <c r="BS142" s="55"/>
      <c r="BT142" s="55"/>
      <c r="BU142" s="55"/>
      <c r="BV142" s="55"/>
      <c r="BW142" s="55"/>
      <c r="BX142" s="130"/>
      <c r="BY142" s="55"/>
      <c r="BZ142" s="55"/>
      <c r="CA142" s="4"/>
      <c r="CB142" s="4"/>
      <c r="CC142" s="4"/>
      <c r="CD142" s="4"/>
      <c r="CE142" s="4"/>
      <c r="CF142" s="4"/>
      <c r="CG142" s="4"/>
      <c r="CH142" s="55"/>
      <c r="CI142" s="55"/>
      <c r="CJ142" s="55"/>
      <c r="CK142" s="55"/>
      <c r="CL142" s="55"/>
      <c r="CM142" s="55"/>
      <c r="CN142" s="55"/>
      <c r="CO142" s="55"/>
      <c r="CP142" s="55"/>
      <c r="CQ142" s="54" t="s">
        <v>66</v>
      </c>
      <c r="CR142" s="271" t="s">
        <v>107</v>
      </c>
      <c r="CS142" s="271"/>
      <c r="CT142" s="271"/>
      <c r="CU142" s="271"/>
      <c r="CV142" s="271"/>
      <c r="CW142" s="271"/>
      <c r="CX142" s="55"/>
      <c r="CY142" s="55"/>
      <c r="CZ142" s="55"/>
      <c r="DA142" s="55"/>
      <c r="DB142" s="55"/>
      <c r="DC142" s="55"/>
      <c r="DD142" s="55"/>
      <c r="DE142" s="55"/>
      <c r="DF142" s="55"/>
      <c r="DG142" s="55"/>
      <c r="DH142" s="55"/>
      <c r="DI142" s="55"/>
      <c r="DJ142" s="130"/>
      <c r="DK142" s="55"/>
      <c r="DL142" s="55"/>
      <c r="DM142" s="55"/>
      <c r="DN142" s="55"/>
      <c r="DO142" s="130"/>
      <c r="DP142" s="55"/>
      <c r="DQ142" s="55"/>
      <c r="DR142" s="55"/>
      <c r="DS142" s="55"/>
      <c r="DT142" s="55"/>
      <c r="DU142" s="55"/>
      <c r="DV142" s="55"/>
      <c r="DW142" s="55"/>
      <c r="DX142" s="55"/>
      <c r="DY142" s="55"/>
      <c r="DZ142" s="55"/>
      <c r="EA142" s="130"/>
      <c r="EB142" s="55"/>
      <c r="EC142" s="55"/>
      <c r="ED142" s="112"/>
      <c r="EE142" s="192"/>
      <c r="EF142" s="192"/>
      <c r="EG142" s="192"/>
      <c r="EH142" s="192"/>
      <c r="EI142" s="192"/>
      <c r="EJ142" s="192"/>
      <c r="EK142" s="55"/>
      <c r="EL142" s="111"/>
      <c r="EM142" s="277"/>
      <c r="EN142" s="277"/>
      <c r="EO142" s="277"/>
      <c r="EP142" s="277"/>
      <c r="EQ142" s="277"/>
      <c r="ER142" s="277"/>
      <c r="ES142" s="55"/>
      <c r="ET142" s="55"/>
      <c r="EU142" s="55"/>
      <c r="EV142" s="55"/>
      <c r="EW142" s="55"/>
      <c r="EX142" s="55"/>
      <c r="EY142" s="55"/>
      <c r="EZ142" s="55"/>
      <c r="FA142" s="55"/>
      <c r="FB142" s="55"/>
      <c r="FC142" s="55"/>
      <c r="FD142" s="55"/>
      <c r="FE142" s="130"/>
    </row>
    <row r="143" spans="1:161" ht="17.25" customHeight="1" x14ac:dyDescent="0.2">
      <c r="A143" s="124"/>
      <c r="B143" s="124"/>
      <c r="C143" s="124"/>
      <c r="D143" s="124"/>
      <c r="E143" s="124"/>
      <c r="F143" s="124"/>
      <c r="G143" s="124"/>
      <c r="H143" s="124"/>
      <c r="I143" s="124"/>
      <c r="J143" s="124"/>
      <c r="K143" s="124"/>
      <c r="L143" s="124"/>
      <c r="M143" s="124"/>
      <c r="N143" s="124"/>
      <c r="O143" s="124"/>
      <c r="P143" s="124"/>
      <c r="BJ143" s="55"/>
      <c r="BK143" s="55"/>
      <c r="BL143" s="130"/>
      <c r="BM143" s="55"/>
      <c r="BN143" s="55"/>
      <c r="BO143" s="55"/>
      <c r="BP143" s="55"/>
      <c r="BQ143" s="55"/>
      <c r="BR143" s="55"/>
      <c r="BS143" s="55"/>
      <c r="BT143" s="55"/>
      <c r="BU143" s="55"/>
      <c r="BV143" s="55"/>
      <c r="BW143" s="55"/>
      <c r="BX143" s="130"/>
      <c r="BY143" s="55"/>
      <c r="BZ143" s="55"/>
      <c r="CA143" s="4"/>
      <c r="CB143" s="4"/>
      <c r="CC143" s="4"/>
      <c r="CD143" s="4"/>
      <c r="CE143" s="4"/>
      <c r="CF143" s="4"/>
      <c r="CG143" s="4"/>
      <c r="CH143" s="55"/>
      <c r="CI143" s="55"/>
      <c r="CJ143" s="55"/>
      <c r="CK143" s="55"/>
      <c r="CL143" s="55"/>
      <c r="CM143" s="55"/>
      <c r="CN143" s="55"/>
      <c r="CO143" s="55"/>
      <c r="CP143" s="55"/>
      <c r="CQ143" s="4"/>
      <c r="CR143" s="271"/>
      <c r="CS143" s="271"/>
      <c r="CT143" s="271"/>
      <c r="CU143" s="271"/>
      <c r="CV143" s="271"/>
      <c r="CW143" s="271"/>
      <c r="CX143" s="55"/>
      <c r="CY143" s="55"/>
      <c r="CZ143" s="55"/>
      <c r="DA143" s="55"/>
      <c r="DB143" s="55"/>
      <c r="DC143" s="55"/>
      <c r="DD143" s="55"/>
      <c r="DE143" s="55"/>
      <c r="DF143" s="55"/>
      <c r="DG143" s="55"/>
      <c r="DH143" s="55"/>
      <c r="DI143" s="55"/>
      <c r="DJ143" s="130"/>
      <c r="DK143" s="55"/>
      <c r="DL143" s="55"/>
      <c r="DM143" s="55"/>
      <c r="DN143" s="55"/>
      <c r="DO143" s="130"/>
      <c r="DP143" s="55"/>
      <c r="DQ143" s="55"/>
      <c r="DR143" s="55"/>
      <c r="DS143" s="55"/>
      <c r="DT143" s="55"/>
      <c r="DU143" s="55"/>
      <c r="DV143" s="55"/>
      <c r="DW143" s="55"/>
      <c r="DX143" s="55"/>
      <c r="DY143" s="55"/>
      <c r="DZ143" s="55"/>
      <c r="EA143" s="130"/>
      <c r="EB143" s="55"/>
      <c r="EC143" s="55"/>
      <c r="ED143" s="112"/>
      <c r="EE143" s="192"/>
      <c r="EF143" s="192"/>
      <c r="EG143" s="192"/>
      <c r="EH143" s="192"/>
      <c r="EI143" s="192"/>
      <c r="EJ143" s="192"/>
      <c r="EK143" s="55"/>
      <c r="EL143" s="87"/>
      <c r="EM143" s="277"/>
      <c r="EN143" s="277"/>
      <c r="EO143" s="277"/>
      <c r="EP143" s="277"/>
      <c r="EQ143" s="277"/>
      <c r="ER143" s="277"/>
      <c r="ES143" s="55"/>
      <c r="ET143" s="55"/>
      <c r="EU143" s="55"/>
      <c r="EV143" s="55"/>
      <c r="EW143" s="55"/>
      <c r="EX143" s="55"/>
      <c r="EY143" s="55"/>
      <c r="EZ143" s="55"/>
      <c r="FA143" s="55"/>
      <c r="FB143" s="55"/>
      <c r="FC143" s="55"/>
      <c r="FD143" s="55"/>
      <c r="FE143" s="130"/>
    </row>
    <row r="144" spans="1:161" ht="17.25" customHeight="1" x14ac:dyDescent="0.2">
      <c r="A144" s="124"/>
      <c r="B144" s="124"/>
      <c r="C144" s="124"/>
      <c r="D144" s="124"/>
      <c r="E144" s="124"/>
      <c r="F144" s="124"/>
      <c r="G144" s="124"/>
      <c r="H144" s="124"/>
      <c r="I144" s="124"/>
      <c r="J144" s="124"/>
      <c r="K144" s="124"/>
      <c r="L144" s="124"/>
      <c r="M144" s="124"/>
      <c r="N144" s="124"/>
      <c r="O144" s="124"/>
      <c r="P144" s="124"/>
      <c r="BJ144" s="55"/>
      <c r="BK144" s="55"/>
      <c r="BL144" s="130"/>
      <c r="BM144" s="55"/>
      <c r="BN144" s="55"/>
      <c r="BO144" s="55"/>
      <c r="BP144" s="55"/>
      <c r="BQ144" s="55"/>
      <c r="BR144" s="55"/>
      <c r="BS144" s="55"/>
      <c r="BT144" s="55"/>
      <c r="BU144" s="55"/>
      <c r="BV144" s="55"/>
      <c r="BW144" s="55"/>
      <c r="BX144" s="130"/>
      <c r="BY144" s="55"/>
      <c r="BZ144" s="55"/>
      <c r="CA144" s="4"/>
      <c r="CB144" s="4"/>
      <c r="CC144" s="4"/>
      <c r="CD144" s="4"/>
      <c r="CE144" s="4"/>
      <c r="CF144" s="4"/>
      <c r="CG144" s="4"/>
      <c r="CH144" s="55"/>
      <c r="CI144" s="55"/>
      <c r="CJ144" s="55"/>
      <c r="CK144" s="55"/>
      <c r="CL144" s="55"/>
      <c r="CM144" s="55"/>
      <c r="CN144" s="55"/>
      <c r="CO144" s="55"/>
      <c r="CP144" s="55"/>
      <c r="CQ144" s="4"/>
      <c r="CR144" s="271"/>
      <c r="CS144" s="271"/>
      <c r="CT144" s="271"/>
      <c r="CU144" s="271"/>
      <c r="CV144" s="271"/>
      <c r="CW144" s="271"/>
      <c r="CX144" s="55"/>
      <c r="CY144" s="55"/>
      <c r="CZ144" s="55"/>
      <c r="DA144" s="55"/>
      <c r="DB144" s="55"/>
      <c r="DC144" s="55"/>
      <c r="DD144" s="55"/>
      <c r="DE144" s="55"/>
      <c r="DF144" s="55"/>
      <c r="DG144" s="55"/>
      <c r="DH144" s="55"/>
      <c r="DI144" s="55"/>
      <c r="DJ144" s="130"/>
      <c r="DK144" s="55"/>
      <c r="DL144" s="55"/>
      <c r="DM144" s="55"/>
      <c r="DN144" s="55"/>
      <c r="DO144" s="130"/>
      <c r="DP144" s="55"/>
      <c r="DQ144" s="55"/>
      <c r="DR144" s="55"/>
      <c r="DS144" s="55"/>
      <c r="DT144" s="55"/>
      <c r="DU144" s="55"/>
      <c r="DV144" s="55"/>
      <c r="DW144" s="55"/>
      <c r="DX144" s="55"/>
      <c r="DY144" s="55"/>
      <c r="DZ144" s="55"/>
      <c r="EA144" s="130"/>
      <c r="EB144" s="55"/>
      <c r="EC144" s="55"/>
      <c r="ED144" s="112"/>
      <c r="EE144" s="192"/>
      <c r="EF144" s="192"/>
      <c r="EG144" s="192"/>
      <c r="EH144" s="192"/>
      <c r="EI144" s="192"/>
      <c r="EJ144" s="192"/>
      <c r="EK144" s="55"/>
      <c r="EL144" s="55"/>
      <c r="EM144" s="55"/>
      <c r="EN144" s="55"/>
      <c r="EO144" s="55"/>
      <c r="EP144" s="55"/>
      <c r="EQ144" s="55"/>
      <c r="ER144" s="55"/>
      <c r="ES144" s="55"/>
      <c r="ET144" s="55"/>
      <c r="EU144" s="55"/>
      <c r="EV144" s="55"/>
      <c r="EW144" s="55"/>
      <c r="EX144" s="55"/>
      <c r="EY144" s="55"/>
      <c r="EZ144" s="55"/>
      <c r="FA144" s="55"/>
      <c r="FB144" s="55"/>
      <c r="FC144" s="55"/>
      <c r="FD144" s="55"/>
      <c r="FE144" s="130"/>
    </row>
    <row r="145" spans="1:161" ht="17.25" customHeight="1" x14ac:dyDescent="0.2">
      <c r="A145" s="124"/>
      <c r="B145" s="124"/>
      <c r="C145" s="124"/>
      <c r="D145" s="124"/>
      <c r="E145" s="124"/>
      <c r="F145" s="124"/>
      <c r="G145" s="124"/>
      <c r="H145" s="124"/>
      <c r="I145" s="124"/>
      <c r="J145" s="124"/>
      <c r="K145" s="124"/>
      <c r="L145" s="124"/>
      <c r="M145" s="124"/>
      <c r="N145" s="124"/>
      <c r="O145" s="124"/>
      <c r="P145" s="124"/>
      <c r="BJ145" s="55"/>
      <c r="BK145" s="55"/>
      <c r="BL145" s="130"/>
      <c r="BM145" s="55"/>
      <c r="BN145" s="55"/>
      <c r="BO145" s="55"/>
      <c r="BP145" s="55"/>
      <c r="BQ145" s="55"/>
      <c r="BR145" s="55"/>
      <c r="BS145" s="55"/>
      <c r="BT145" s="55"/>
      <c r="BU145" s="55"/>
      <c r="BV145" s="55"/>
      <c r="BW145" s="55"/>
      <c r="BX145" s="130"/>
      <c r="BY145" s="55"/>
      <c r="BZ145" s="55"/>
      <c r="CA145" s="4"/>
      <c r="CB145" s="4"/>
      <c r="CC145" s="4"/>
      <c r="CD145" s="4"/>
      <c r="CE145" s="4"/>
      <c r="CF145" s="4"/>
      <c r="CG145" s="4"/>
      <c r="CH145" s="55"/>
      <c r="CI145" s="55"/>
      <c r="CJ145" s="55"/>
      <c r="CK145" s="55"/>
      <c r="CL145" s="55"/>
      <c r="CM145" s="55"/>
      <c r="CN145" s="55"/>
      <c r="CO145" s="55"/>
      <c r="CP145" s="55"/>
      <c r="CQ145" s="4"/>
      <c r="CR145" s="4"/>
      <c r="CS145" s="4"/>
      <c r="CT145" s="4"/>
      <c r="CU145" s="4"/>
      <c r="CV145" s="4"/>
      <c r="CW145" s="4"/>
      <c r="CX145" s="55"/>
      <c r="CY145" s="55"/>
      <c r="CZ145" s="55"/>
      <c r="DA145" s="55"/>
      <c r="DB145" s="55"/>
      <c r="DC145" s="55"/>
      <c r="DD145" s="55"/>
      <c r="DE145" s="55"/>
      <c r="DF145" s="55"/>
      <c r="DG145" s="55"/>
      <c r="DH145" s="55"/>
      <c r="DI145" s="55"/>
      <c r="DJ145" s="130"/>
      <c r="DK145" s="55"/>
      <c r="DL145" s="55"/>
      <c r="DM145" s="55"/>
      <c r="DN145" s="55"/>
      <c r="DO145" s="130"/>
      <c r="DP145" s="55"/>
      <c r="DQ145" s="55"/>
      <c r="DR145" s="55"/>
      <c r="DS145" s="55"/>
      <c r="DT145" s="55"/>
      <c r="DU145" s="55"/>
      <c r="DV145" s="55"/>
      <c r="DW145" s="55"/>
      <c r="DX145" s="55"/>
      <c r="DY145" s="55"/>
      <c r="DZ145" s="55"/>
      <c r="EA145" s="130"/>
      <c r="EB145" s="55"/>
      <c r="EC145" s="55"/>
      <c r="ED145" s="55"/>
      <c r="EE145" s="55"/>
      <c r="EF145" s="55"/>
      <c r="EG145" s="55"/>
      <c r="EH145" s="55"/>
      <c r="EI145" s="55"/>
      <c r="EJ145" s="55"/>
      <c r="EK145" s="55"/>
      <c r="EL145" s="55"/>
      <c r="EM145" s="55"/>
      <c r="EN145" s="55"/>
      <c r="EO145" s="55"/>
      <c r="EP145" s="55"/>
      <c r="EQ145" s="55"/>
      <c r="ER145" s="55"/>
      <c r="ES145" s="55"/>
      <c r="ET145" s="55"/>
      <c r="EU145" s="55"/>
      <c r="EV145" s="55"/>
      <c r="EW145" s="55"/>
      <c r="EX145" s="55"/>
      <c r="EY145" s="55"/>
      <c r="EZ145" s="55"/>
      <c r="FA145" s="55"/>
      <c r="FB145" s="55"/>
      <c r="FC145" s="55"/>
      <c r="FD145" s="55"/>
      <c r="FE145" s="130"/>
    </row>
    <row r="146" spans="1:161" ht="17.25" customHeight="1" x14ac:dyDescent="0.2">
      <c r="A146" s="124"/>
      <c r="B146" s="124"/>
      <c r="C146" s="124"/>
      <c r="D146" s="124"/>
      <c r="E146" s="124"/>
      <c r="F146" s="124"/>
      <c r="G146" s="124"/>
      <c r="H146" s="124"/>
      <c r="I146" s="124"/>
      <c r="J146" s="124"/>
      <c r="K146" s="124"/>
      <c r="L146" s="124"/>
      <c r="M146" s="124"/>
      <c r="N146" s="124"/>
      <c r="O146" s="124"/>
      <c r="P146" s="124"/>
      <c r="BJ146" s="55"/>
      <c r="BK146" s="55"/>
      <c r="BL146" s="130"/>
      <c r="BM146" s="55"/>
      <c r="BN146" s="55"/>
      <c r="BO146" s="55"/>
      <c r="BP146" s="55"/>
      <c r="BQ146" s="55"/>
      <c r="BR146" s="55"/>
      <c r="BS146" s="55"/>
      <c r="BT146" s="55"/>
      <c r="BU146" s="55"/>
      <c r="BV146" s="55"/>
      <c r="BW146" s="55"/>
      <c r="BX146" s="130"/>
      <c r="BY146" s="55"/>
      <c r="BZ146" s="55"/>
      <c r="CA146" s="4"/>
      <c r="CB146" s="4"/>
      <c r="CC146" s="4"/>
      <c r="CD146" s="4"/>
      <c r="CE146" s="4"/>
      <c r="CF146" s="4"/>
      <c r="CG146" s="4"/>
      <c r="CH146" s="55"/>
      <c r="CI146" s="55"/>
      <c r="CJ146" s="55"/>
      <c r="CK146" s="55"/>
      <c r="CL146" s="55"/>
      <c r="CM146" s="55"/>
      <c r="CN146" s="55"/>
      <c r="CO146" s="55"/>
      <c r="CP146" s="55"/>
      <c r="CQ146" s="4"/>
      <c r="CR146" s="4"/>
      <c r="CS146" s="4"/>
      <c r="CT146" s="4"/>
      <c r="CU146" s="4"/>
      <c r="CV146" s="4"/>
      <c r="CW146" s="4"/>
      <c r="CX146" s="55"/>
      <c r="CY146" s="55"/>
      <c r="CZ146" s="55"/>
      <c r="DA146" s="55"/>
      <c r="DB146" s="55"/>
      <c r="DC146" s="55"/>
      <c r="DD146" s="55"/>
      <c r="DE146" s="55"/>
      <c r="DF146" s="55"/>
      <c r="DG146" s="55"/>
      <c r="DH146" s="55"/>
      <c r="DI146" s="55"/>
      <c r="DJ146" s="130"/>
      <c r="DK146" s="55"/>
      <c r="DL146" s="55"/>
      <c r="DM146" s="55"/>
      <c r="DN146" s="55"/>
      <c r="DO146" s="130"/>
      <c r="DP146" s="55"/>
      <c r="DQ146" s="55"/>
      <c r="DR146" s="55"/>
      <c r="DS146" s="55"/>
      <c r="DT146" s="55"/>
      <c r="DU146" s="55"/>
      <c r="DV146" s="55"/>
      <c r="DW146" s="55"/>
      <c r="DX146" s="55"/>
      <c r="DY146" s="55"/>
      <c r="DZ146" s="55"/>
      <c r="EA146" s="130"/>
      <c r="EB146" s="55"/>
      <c r="EC146" s="55"/>
      <c r="ED146" s="55"/>
      <c r="EE146" s="55"/>
      <c r="EF146" s="55"/>
      <c r="EG146" s="55"/>
      <c r="EH146" s="55"/>
      <c r="EI146" s="55"/>
      <c r="EJ146" s="55"/>
      <c r="EK146" s="55"/>
      <c r="EL146" s="55"/>
      <c r="EM146" s="55"/>
      <c r="EN146" s="55"/>
      <c r="EO146" s="55"/>
      <c r="EP146" s="55"/>
      <c r="EQ146" s="55"/>
      <c r="ER146" s="55"/>
      <c r="ES146" s="55"/>
      <c r="ET146" s="55"/>
      <c r="EU146" s="55"/>
      <c r="EV146" s="55"/>
      <c r="EW146" s="55"/>
      <c r="EX146" s="55"/>
      <c r="EY146" s="55"/>
      <c r="EZ146" s="55"/>
      <c r="FA146" s="55"/>
      <c r="FB146" s="55"/>
      <c r="FC146" s="55"/>
      <c r="FD146" s="55"/>
      <c r="FE146" s="130"/>
    </row>
    <row r="147" spans="1:161" ht="17.25" customHeight="1" x14ac:dyDescent="0.2">
      <c r="A147" s="124"/>
      <c r="B147" s="124"/>
      <c r="C147" s="124"/>
      <c r="D147" s="124"/>
      <c r="E147" s="124"/>
      <c r="F147" s="124"/>
      <c r="G147" s="124"/>
      <c r="H147" s="124"/>
      <c r="I147" s="124"/>
      <c r="J147" s="124"/>
      <c r="K147" s="124"/>
      <c r="L147" s="124"/>
      <c r="M147" s="124"/>
      <c r="N147" s="124"/>
      <c r="O147" s="124"/>
      <c r="P147" s="124"/>
      <c r="BJ147" s="55"/>
      <c r="BK147" s="55"/>
      <c r="BL147" s="130"/>
      <c r="BM147" s="55"/>
      <c r="BN147" s="55"/>
      <c r="BO147" s="55"/>
      <c r="BP147" s="55"/>
      <c r="BQ147" s="55"/>
      <c r="BR147" s="55"/>
      <c r="BS147" s="55"/>
      <c r="BT147" s="55"/>
      <c r="BU147" s="55"/>
      <c r="BV147" s="55"/>
      <c r="BW147" s="55"/>
      <c r="BX147" s="130"/>
      <c r="BY147" s="55"/>
      <c r="BZ147" s="55"/>
      <c r="CA147" s="54"/>
      <c r="CB147" s="271"/>
      <c r="CC147" s="271"/>
      <c r="CD147" s="271"/>
      <c r="CE147" s="271"/>
      <c r="CF147" s="271"/>
      <c r="CG147" s="271"/>
      <c r="CH147" s="55"/>
      <c r="CI147" s="55"/>
      <c r="CJ147" s="55"/>
      <c r="CK147" s="55"/>
      <c r="CL147" s="55"/>
      <c r="CM147" s="55"/>
      <c r="CN147" s="55"/>
      <c r="CO147" s="55"/>
      <c r="CP147" s="55"/>
      <c r="CQ147" s="4"/>
      <c r="CR147" s="4"/>
      <c r="CS147" s="4"/>
      <c r="CT147" s="4"/>
      <c r="CU147" s="4"/>
      <c r="CV147" s="4"/>
      <c r="CW147" s="4"/>
      <c r="CX147" s="55"/>
      <c r="CY147" s="55"/>
      <c r="CZ147" s="55"/>
      <c r="DA147" s="55"/>
      <c r="DB147" s="55"/>
      <c r="DC147" s="55"/>
      <c r="DD147" s="55"/>
      <c r="DE147" s="55"/>
      <c r="DF147" s="55"/>
      <c r="DG147" s="55"/>
      <c r="DH147" s="55"/>
      <c r="DI147" s="55"/>
      <c r="DJ147" s="130"/>
      <c r="DK147" s="55"/>
      <c r="DL147" s="55"/>
      <c r="DM147" s="55"/>
      <c r="DN147" s="55"/>
      <c r="DO147" s="130"/>
      <c r="DP147" s="55"/>
      <c r="DQ147" s="55"/>
      <c r="DR147" s="55"/>
      <c r="DS147" s="55"/>
      <c r="DT147" s="55"/>
      <c r="DU147" s="55"/>
      <c r="DV147" s="55"/>
      <c r="DW147" s="55"/>
      <c r="DX147" s="55"/>
      <c r="DY147" s="55"/>
      <c r="DZ147" s="55"/>
      <c r="EA147" s="130"/>
      <c r="EB147" s="55"/>
      <c r="EC147" s="55"/>
      <c r="ED147" s="55"/>
      <c r="EE147" s="55"/>
      <c r="EF147" s="55"/>
      <c r="EG147" s="55"/>
      <c r="EH147" s="55"/>
      <c r="EI147" s="55"/>
      <c r="EJ147" s="55"/>
      <c r="EK147" s="55"/>
      <c r="EL147" s="55"/>
      <c r="EM147" s="55"/>
      <c r="EN147" s="55"/>
      <c r="EO147" s="55"/>
      <c r="EP147" s="55"/>
      <c r="EQ147" s="55"/>
      <c r="ER147" s="55"/>
      <c r="ES147" s="55"/>
      <c r="ET147" s="55"/>
      <c r="EU147" s="55"/>
      <c r="EV147" s="55"/>
      <c r="EW147" s="55"/>
      <c r="EX147" s="55"/>
      <c r="EY147" s="55"/>
      <c r="EZ147" s="55"/>
      <c r="FA147" s="55"/>
      <c r="FB147" s="55"/>
      <c r="FC147" s="55"/>
      <c r="FD147" s="55"/>
      <c r="FE147" s="130"/>
    </row>
    <row r="148" spans="1:161" ht="17.25" customHeight="1" x14ac:dyDescent="0.2">
      <c r="A148" s="124"/>
      <c r="B148" s="124"/>
      <c r="C148" s="124"/>
      <c r="D148" s="124"/>
      <c r="E148" s="124"/>
      <c r="F148" s="124"/>
      <c r="G148" s="124"/>
      <c r="H148" s="124"/>
      <c r="I148" s="124"/>
      <c r="J148" s="124"/>
      <c r="K148" s="124"/>
      <c r="L148" s="124"/>
      <c r="M148" s="124"/>
      <c r="N148" s="124"/>
      <c r="O148" s="124"/>
      <c r="P148" s="124"/>
      <c r="BJ148" s="55"/>
      <c r="BK148" s="55"/>
      <c r="BL148" s="130"/>
      <c r="BM148" s="55"/>
      <c r="BN148" s="55"/>
      <c r="BO148" s="55"/>
      <c r="BP148" s="55"/>
      <c r="BQ148" s="55"/>
      <c r="BR148" s="55"/>
      <c r="BS148" s="55"/>
      <c r="BT148" s="55"/>
      <c r="BU148" s="55"/>
      <c r="BV148" s="55"/>
      <c r="BW148" s="55"/>
      <c r="BX148" s="130"/>
      <c r="BY148" s="55"/>
      <c r="BZ148" s="55"/>
      <c r="CA148" s="4"/>
      <c r="CB148" s="271"/>
      <c r="CC148" s="271"/>
      <c r="CD148" s="271"/>
      <c r="CE148" s="271"/>
      <c r="CF148" s="271"/>
      <c r="CG148" s="271"/>
      <c r="CH148" s="55"/>
      <c r="CI148" s="55"/>
      <c r="CJ148" s="55"/>
      <c r="CK148" s="55"/>
      <c r="CL148" s="55"/>
      <c r="CM148" s="55"/>
      <c r="CN148" s="55"/>
      <c r="CO148" s="55"/>
      <c r="CP148" s="55"/>
      <c r="CQ148" s="4"/>
      <c r="CR148" s="4"/>
      <c r="CS148" s="4"/>
      <c r="CT148" s="4"/>
      <c r="CU148" s="4"/>
      <c r="CV148" s="4"/>
      <c r="CW148" s="4"/>
      <c r="CX148" s="55"/>
      <c r="CY148" s="55"/>
      <c r="CZ148" s="55"/>
      <c r="DA148" s="55"/>
      <c r="DB148" s="55"/>
      <c r="DC148" s="55"/>
      <c r="DD148" s="55"/>
      <c r="DE148" s="55"/>
      <c r="DF148" s="55"/>
      <c r="DG148" s="55"/>
      <c r="DH148" s="55"/>
      <c r="DI148" s="55"/>
      <c r="DJ148" s="130"/>
      <c r="DK148" s="55"/>
      <c r="DL148" s="55"/>
      <c r="DM148" s="55"/>
      <c r="DN148" s="55"/>
      <c r="DO148" s="130"/>
      <c r="DP148" s="55"/>
      <c r="DQ148" s="55"/>
      <c r="DR148" s="55"/>
      <c r="DS148" s="55"/>
      <c r="DT148" s="55"/>
      <c r="DU148" s="55"/>
      <c r="DV148" s="55"/>
      <c r="DW148" s="55"/>
      <c r="DX148" s="55"/>
      <c r="DY148" s="55"/>
      <c r="DZ148" s="55"/>
      <c r="EA148" s="130"/>
      <c r="EB148" s="55"/>
      <c r="EC148" s="55"/>
      <c r="ED148" s="55"/>
      <c r="EE148" s="55"/>
      <c r="EF148" s="55"/>
      <c r="EG148" s="55"/>
      <c r="EH148" s="55"/>
      <c r="EI148" s="55"/>
      <c r="EJ148" s="55"/>
      <c r="EK148" s="55"/>
      <c r="EL148" s="55"/>
      <c r="EM148" s="55"/>
      <c r="EN148" s="55"/>
      <c r="EO148" s="55"/>
      <c r="EP148" s="55"/>
      <c r="EQ148" s="55"/>
      <c r="ER148" s="55"/>
      <c r="ES148" s="55"/>
      <c r="ET148" s="55"/>
      <c r="EU148" s="55"/>
      <c r="EV148" s="55"/>
      <c r="EW148" s="55"/>
      <c r="EX148" s="55"/>
      <c r="EY148" s="55"/>
      <c r="EZ148" s="55"/>
      <c r="FA148" s="55"/>
      <c r="FB148" s="55"/>
      <c r="FC148" s="55"/>
      <c r="FD148" s="55"/>
      <c r="FE148" s="130"/>
    </row>
    <row r="149" spans="1:161" ht="17.25" customHeight="1" x14ac:dyDescent="0.2">
      <c r="A149" s="124"/>
      <c r="B149" s="124"/>
      <c r="C149" s="124"/>
      <c r="D149" s="124"/>
      <c r="E149" s="124"/>
      <c r="F149" s="124"/>
      <c r="G149" s="124"/>
      <c r="H149" s="124"/>
      <c r="I149" s="124"/>
      <c r="J149" s="124"/>
      <c r="K149" s="124"/>
      <c r="L149" s="124"/>
      <c r="M149" s="124"/>
      <c r="N149" s="124"/>
      <c r="O149" s="124"/>
      <c r="P149" s="124"/>
      <c r="BJ149" s="55"/>
      <c r="BK149" s="55"/>
      <c r="BL149" s="130"/>
      <c r="BM149" s="55"/>
      <c r="BN149" s="55"/>
      <c r="BO149" s="55"/>
      <c r="BP149" s="55"/>
      <c r="BQ149" s="55"/>
      <c r="BR149" s="55"/>
      <c r="BS149" s="55"/>
      <c r="BT149" s="55"/>
      <c r="BU149" s="55"/>
      <c r="BV149" s="55"/>
      <c r="BW149" s="55"/>
      <c r="BX149" s="130"/>
      <c r="BY149" s="55"/>
      <c r="BZ149" s="55"/>
      <c r="CA149" s="4"/>
      <c r="CB149" s="271"/>
      <c r="CC149" s="271"/>
      <c r="CD149" s="271"/>
      <c r="CE149" s="271"/>
      <c r="CF149" s="271"/>
      <c r="CG149" s="271"/>
      <c r="CH149" s="55"/>
      <c r="CI149" s="55"/>
      <c r="CJ149" s="55"/>
      <c r="CK149" s="55"/>
      <c r="CL149" s="55"/>
      <c r="CM149" s="55"/>
      <c r="CN149" s="55"/>
      <c r="CO149" s="55"/>
      <c r="CP149" s="55"/>
      <c r="CQ149" s="4"/>
      <c r="CR149" s="4"/>
      <c r="CS149" s="4"/>
      <c r="CT149" s="4"/>
      <c r="CU149" s="4"/>
      <c r="CV149" s="4"/>
      <c r="CW149" s="4"/>
      <c r="CX149" s="55"/>
      <c r="CY149" s="55"/>
      <c r="CZ149" s="55"/>
      <c r="DA149" s="55"/>
      <c r="DB149" s="55"/>
      <c r="DC149" s="55"/>
      <c r="DD149" s="55"/>
      <c r="DE149" s="55"/>
      <c r="DF149" s="55"/>
      <c r="DG149" s="55"/>
      <c r="DH149" s="55"/>
      <c r="DI149" s="55"/>
      <c r="DJ149" s="130"/>
      <c r="DK149" s="55"/>
      <c r="DL149" s="55"/>
      <c r="DM149" s="55"/>
      <c r="DN149" s="55"/>
      <c r="DO149" s="130"/>
      <c r="DP149" s="55"/>
      <c r="DQ149" s="55"/>
      <c r="DR149" s="55"/>
      <c r="DS149" s="55"/>
      <c r="DT149" s="55"/>
      <c r="DU149" s="55"/>
      <c r="DV149" s="55"/>
      <c r="DW149" s="55"/>
      <c r="DX149" s="55"/>
      <c r="DY149" s="55"/>
      <c r="DZ149" s="55"/>
      <c r="EA149" s="130"/>
      <c r="EB149" s="55"/>
      <c r="EC149" s="55"/>
      <c r="ED149" s="55"/>
      <c r="EE149" s="55"/>
      <c r="EF149" s="55"/>
      <c r="EG149" s="55"/>
      <c r="EH149" s="55"/>
      <c r="EI149" s="55"/>
      <c r="EJ149" s="55"/>
      <c r="EK149" s="55"/>
      <c r="EL149" s="55"/>
      <c r="EM149" s="55"/>
      <c r="EN149" s="55"/>
      <c r="EO149" s="55"/>
      <c r="EP149" s="55"/>
      <c r="EQ149" s="55"/>
      <c r="ER149" s="55"/>
      <c r="ES149" s="55"/>
      <c r="ET149" s="55"/>
      <c r="EU149" s="55"/>
      <c r="EV149" s="55"/>
      <c r="EW149" s="55"/>
      <c r="EX149" s="55"/>
      <c r="EY149" s="55"/>
      <c r="EZ149" s="55"/>
      <c r="FA149" s="55"/>
      <c r="FB149" s="55"/>
      <c r="FC149" s="55"/>
      <c r="FD149" s="55"/>
      <c r="FE149" s="130"/>
    </row>
    <row r="150" spans="1:161" ht="17.25" customHeight="1" x14ac:dyDescent="0.2">
      <c r="A150" s="124"/>
      <c r="B150" s="124"/>
      <c r="C150" s="124"/>
      <c r="D150" s="124"/>
      <c r="E150" s="124"/>
      <c r="F150" s="124"/>
      <c r="G150" s="124"/>
      <c r="H150" s="124"/>
      <c r="I150" s="124"/>
      <c r="J150" s="124"/>
      <c r="K150" s="124"/>
      <c r="L150" s="124"/>
      <c r="M150" s="124"/>
      <c r="N150" s="124"/>
      <c r="O150" s="124"/>
      <c r="P150" s="124"/>
      <c r="BJ150" s="55"/>
      <c r="BK150" s="55"/>
      <c r="BL150" s="130"/>
      <c r="BM150" s="55"/>
      <c r="BN150" s="55"/>
      <c r="BO150" s="55"/>
      <c r="BP150" s="55"/>
      <c r="BQ150" s="55"/>
      <c r="BR150" s="55"/>
      <c r="BS150" s="55"/>
      <c r="BT150" s="55"/>
      <c r="BU150" s="55"/>
      <c r="BV150" s="55"/>
      <c r="BW150" s="55"/>
      <c r="BX150" s="130"/>
      <c r="BY150" s="55"/>
      <c r="BZ150" s="55"/>
      <c r="CA150" s="4"/>
      <c r="CB150" s="4"/>
      <c r="CC150" s="4"/>
      <c r="CD150" s="4"/>
      <c r="CE150" s="4"/>
      <c r="CF150" s="4"/>
      <c r="CG150" s="4"/>
      <c r="CH150" s="55"/>
      <c r="CI150" s="55"/>
      <c r="CJ150" s="55"/>
      <c r="CK150" s="55"/>
      <c r="CL150" s="55"/>
      <c r="CM150" s="55"/>
      <c r="CN150" s="55"/>
      <c r="CO150" s="55"/>
      <c r="CP150" s="55"/>
      <c r="CQ150" s="4"/>
      <c r="CR150" s="4"/>
      <c r="CS150" s="4"/>
      <c r="CT150" s="4"/>
      <c r="CU150" s="4"/>
      <c r="CV150" s="4"/>
      <c r="CW150" s="4"/>
      <c r="CX150" s="55"/>
      <c r="CY150" s="55"/>
      <c r="CZ150" s="55"/>
      <c r="DA150" s="55"/>
      <c r="DB150" s="55"/>
      <c r="DC150" s="55"/>
      <c r="DD150" s="55"/>
      <c r="DE150" s="55"/>
      <c r="DF150" s="55"/>
      <c r="DG150" s="55"/>
      <c r="DH150" s="55"/>
      <c r="DI150" s="55"/>
      <c r="DJ150" s="130"/>
      <c r="DK150" s="55"/>
      <c r="DL150" s="55"/>
      <c r="DM150" s="55"/>
      <c r="DN150" s="55"/>
      <c r="DO150" s="130"/>
      <c r="DP150" s="55"/>
      <c r="DQ150" s="55"/>
      <c r="DR150" s="55"/>
      <c r="DS150" s="55"/>
      <c r="DT150" s="55"/>
      <c r="DU150" s="55"/>
      <c r="DV150" s="55"/>
      <c r="DW150" s="55"/>
      <c r="DX150" s="55"/>
      <c r="DY150" s="55"/>
      <c r="DZ150" s="55"/>
      <c r="EA150" s="130"/>
      <c r="EB150" s="55"/>
      <c r="EC150" s="55"/>
      <c r="ED150" s="55"/>
      <c r="EE150" s="55"/>
      <c r="EF150" s="55"/>
      <c r="EG150" s="55"/>
      <c r="EH150" s="55"/>
      <c r="EI150" s="55"/>
      <c r="EJ150" s="55"/>
      <c r="EK150" s="55"/>
      <c r="EL150" s="55"/>
      <c r="EM150" s="55"/>
      <c r="EN150" s="55"/>
      <c r="EO150" s="55"/>
      <c r="EP150" s="55"/>
      <c r="EQ150" s="55"/>
      <c r="ER150" s="55"/>
      <c r="ES150" s="55"/>
      <c r="ET150" s="55"/>
      <c r="EU150" s="55"/>
      <c r="EV150" s="55"/>
      <c r="EW150" s="55"/>
      <c r="EX150" s="55"/>
      <c r="EY150" s="55"/>
      <c r="EZ150" s="55"/>
      <c r="FA150" s="55"/>
      <c r="FB150" s="55"/>
      <c r="FC150" s="55"/>
      <c r="FD150" s="55"/>
      <c r="FE150" s="130"/>
    </row>
    <row r="151" spans="1:161" ht="17.25" customHeight="1" x14ac:dyDescent="0.2">
      <c r="A151" s="124"/>
      <c r="B151" s="124"/>
      <c r="C151" s="124"/>
      <c r="D151" s="124"/>
      <c r="E151" s="124"/>
      <c r="F151" s="124"/>
      <c r="G151" s="124"/>
      <c r="H151" s="124"/>
      <c r="I151" s="124"/>
      <c r="J151" s="124"/>
      <c r="K151" s="124"/>
      <c r="L151" s="124"/>
      <c r="M151" s="124"/>
      <c r="N151" s="124"/>
      <c r="O151" s="124"/>
      <c r="P151" s="124"/>
      <c r="BJ151" s="55"/>
      <c r="BK151" s="55"/>
      <c r="BL151" s="130"/>
      <c r="BM151" s="55"/>
      <c r="BN151" s="55"/>
      <c r="BO151" s="55"/>
      <c r="BP151" s="55"/>
      <c r="BQ151" s="55"/>
      <c r="BR151" s="55"/>
      <c r="BS151" s="55"/>
      <c r="BT151" s="55"/>
      <c r="BU151" s="55"/>
      <c r="BV151" s="55"/>
      <c r="BW151" s="55"/>
      <c r="BX151" s="130"/>
      <c r="BY151" s="55"/>
      <c r="BZ151" s="55"/>
      <c r="CA151" s="54"/>
      <c r="CB151" s="277"/>
      <c r="CC151" s="277"/>
      <c r="CD151" s="277"/>
      <c r="CE151" s="277"/>
      <c r="CF151" s="277"/>
      <c r="CG151" s="277"/>
      <c r="CH151" s="55"/>
      <c r="CI151" s="55"/>
      <c r="CJ151" s="55"/>
      <c r="CK151" s="55"/>
      <c r="CL151" s="55"/>
      <c r="CM151" s="55"/>
      <c r="CN151" s="55"/>
      <c r="CO151" s="55"/>
      <c r="CP151" s="55"/>
      <c r="CQ151" s="54"/>
      <c r="CR151" s="277"/>
      <c r="CS151" s="277"/>
      <c r="CT151" s="277"/>
      <c r="CU151" s="277"/>
      <c r="CV151" s="277"/>
      <c r="CW151" s="277"/>
      <c r="CX151" s="55"/>
      <c r="CY151" s="55"/>
      <c r="CZ151" s="55"/>
      <c r="DA151" s="55"/>
      <c r="DB151" s="55"/>
      <c r="DC151" s="55"/>
      <c r="DD151" s="55"/>
      <c r="DE151" s="55"/>
      <c r="DF151" s="55"/>
      <c r="DG151" s="55"/>
      <c r="DH151" s="55"/>
      <c r="DI151" s="55"/>
      <c r="DJ151" s="130"/>
      <c r="DK151" s="55"/>
      <c r="DL151" s="55"/>
      <c r="DM151" s="55"/>
      <c r="DN151" s="55"/>
      <c r="DO151" s="130"/>
      <c r="DP151" s="55"/>
      <c r="DQ151" s="55"/>
      <c r="DR151" s="55"/>
      <c r="DS151" s="55"/>
      <c r="DT151" s="55"/>
      <c r="DU151" s="55"/>
      <c r="DV151" s="55"/>
      <c r="DW151" s="55"/>
      <c r="DX151" s="55"/>
      <c r="DY151" s="55"/>
      <c r="DZ151" s="55"/>
      <c r="EA151" s="130"/>
      <c r="EB151" s="55"/>
      <c r="EC151" s="55"/>
      <c r="ED151" s="55"/>
      <c r="EE151" s="55"/>
      <c r="EF151" s="55"/>
      <c r="EG151" s="55"/>
      <c r="EH151" s="55"/>
      <c r="EI151" s="55"/>
      <c r="EJ151" s="55"/>
      <c r="EK151" s="55"/>
      <c r="EL151" s="55"/>
      <c r="EM151" s="55"/>
      <c r="EN151" s="55"/>
      <c r="EO151" s="55"/>
      <c r="EP151" s="55"/>
      <c r="EQ151" s="55"/>
      <c r="ER151" s="55"/>
      <c r="ES151" s="55"/>
      <c r="ET151" s="55"/>
      <c r="EU151" s="55"/>
      <c r="EV151" s="55"/>
      <c r="EW151" s="55"/>
      <c r="EX151" s="55"/>
      <c r="EY151" s="55"/>
      <c r="EZ151" s="55"/>
      <c r="FA151" s="55"/>
      <c r="FB151" s="55"/>
      <c r="FC151" s="55"/>
      <c r="FD151" s="55"/>
      <c r="FE151" s="130"/>
    </row>
    <row r="152" spans="1:161" ht="17.25" customHeight="1" x14ac:dyDescent="0.2">
      <c r="A152" s="124"/>
      <c r="B152" s="124"/>
      <c r="C152" s="124"/>
      <c r="D152" s="124"/>
      <c r="E152" s="124"/>
      <c r="F152" s="124"/>
      <c r="G152" s="124"/>
      <c r="H152" s="124"/>
      <c r="I152" s="124"/>
      <c r="J152" s="124"/>
      <c r="K152" s="124"/>
      <c r="L152" s="124"/>
      <c r="M152" s="124"/>
      <c r="N152" s="124"/>
      <c r="O152" s="124"/>
      <c r="P152" s="124"/>
      <c r="BJ152" s="55"/>
      <c r="BK152" s="55"/>
      <c r="BL152" s="130"/>
      <c r="BM152" s="55"/>
      <c r="BN152" s="55"/>
      <c r="BO152" s="55"/>
      <c r="BP152" s="55"/>
      <c r="BQ152" s="55"/>
      <c r="BR152" s="55"/>
      <c r="BS152" s="55"/>
      <c r="BT152" s="55"/>
      <c r="BU152" s="55"/>
      <c r="BV152" s="55"/>
      <c r="BW152" s="55"/>
      <c r="BX152" s="130"/>
      <c r="BY152" s="55"/>
      <c r="BZ152" s="55"/>
      <c r="CA152" s="4"/>
      <c r="CB152" s="277"/>
      <c r="CC152" s="277"/>
      <c r="CD152" s="277"/>
      <c r="CE152" s="277"/>
      <c r="CF152" s="277"/>
      <c r="CG152" s="277"/>
      <c r="CH152" s="55"/>
      <c r="CI152" s="55"/>
      <c r="CJ152" s="55"/>
      <c r="CK152" s="55"/>
      <c r="CL152" s="55"/>
      <c r="CM152" s="55"/>
      <c r="CN152" s="55"/>
      <c r="CO152" s="55"/>
      <c r="CP152" s="55"/>
      <c r="CQ152" s="4"/>
      <c r="CR152" s="277"/>
      <c r="CS152" s="277"/>
      <c r="CT152" s="277"/>
      <c r="CU152" s="277"/>
      <c r="CV152" s="277"/>
      <c r="CW152" s="277"/>
      <c r="CX152" s="55"/>
      <c r="CY152" s="55"/>
      <c r="CZ152" s="55"/>
      <c r="DA152" s="55"/>
      <c r="DB152" s="55"/>
      <c r="DC152" s="55"/>
      <c r="DD152" s="55"/>
      <c r="DE152" s="55"/>
      <c r="DF152" s="55"/>
      <c r="DG152" s="55"/>
      <c r="DH152" s="55"/>
      <c r="DI152" s="55"/>
      <c r="DJ152" s="130"/>
      <c r="DK152" s="55"/>
      <c r="DL152" s="55"/>
      <c r="DM152" s="55"/>
      <c r="DN152" s="55"/>
      <c r="DO152" s="130"/>
      <c r="DP152" s="55"/>
      <c r="DQ152" s="55"/>
      <c r="DR152" s="55"/>
      <c r="DS152" s="55"/>
      <c r="DT152" s="55"/>
      <c r="DU152" s="55"/>
      <c r="DV152" s="55"/>
      <c r="DW152" s="55"/>
      <c r="DX152" s="55"/>
      <c r="DY152" s="55"/>
      <c r="DZ152" s="55"/>
      <c r="EA152" s="130"/>
      <c r="EB152" s="55"/>
      <c r="EC152" s="55"/>
      <c r="ED152" s="55"/>
      <c r="EE152" s="55"/>
      <c r="EF152" s="55"/>
      <c r="EG152" s="55"/>
      <c r="EH152" s="55"/>
      <c r="EI152" s="55"/>
      <c r="EJ152" s="55"/>
      <c r="EK152" s="55"/>
      <c r="EL152" s="55"/>
      <c r="EM152" s="55"/>
      <c r="EN152" s="55"/>
      <c r="EO152" s="55"/>
      <c r="EP152" s="55"/>
      <c r="EQ152" s="55"/>
      <c r="ER152" s="55"/>
      <c r="ES152" s="55"/>
      <c r="ET152" s="55"/>
      <c r="EU152" s="55"/>
      <c r="EV152" s="55"/>
      <c r="EW152" s="55"/>
      <c r="EX152" s="55"/>
      <c r="EY152" s="55"/>
      <c r="EZ152" s="55"/>
      <c r="FA152" s="55"/>
      <c r="FB152" s="55"/>
      <c r="FC152" s="55"/>
      <c r="FD152" s="55"/>
      <c r="FE152" s="130"/>
    </row>
    <row r="153" spans="1:161" ht="17.25" customHeight="1" x14ac:dyDescent="0.2">
      <c r="A153" s="124"/>
      <c r="B153" s="124"/>
      <c r="C153" s="124"/>
      <c r="D153" s="124"/>
      <c r="E153" s="124"/>
      <c r="F153" s="124"/>
      <c r="G153" s="124"/>
      <c r="H153" s="124"/>
      <c r="I153" s="124"/>
      <c r="J153" s="124"/>
      <c r="K153" s="124"/>
      <c r="L153" s="124"/>
      <c r="M153" s="124"/>
      <c r="N153" s="124"/>
      <c r="O153" s="124"/>
      <c r="P153" s="124"/>
      <c r="BJ153" s="55"/>
      <c r="BK153" s="55"/>
      <c r="BL153" s="130"/>
      <c r="BM153" s="55"/>
      <c r="BN153" s="55"/>
      <c r="BO153" s="55"/>
      <c r="BP153" s="55"/>
      <c r="BQ153" s="55"/>
      <c r="BR153" s="55"/>
      <c r="BS153" s="55"/>
      <c r="BT153" s="55"/>
      <c r="BU153" s="55"/>
      <c r="BV153" s="55"/>
      <c r="BW153" s="55"/>
      <c r="BX153" s="130"/>
      <c r="BY153" s="55"/>
      <c r="BZ153" s="55"/>
      <c r="CA153" s="4"/>
      <c r="CB153" s="277"/>
      <c r="CC153" s="277"/>
      <c r="CD153" s="277"/>
      <c r="CE153" s="277"/>
      <c r="CF153" s="277"/>
      <c r="CG153" s="277"/>
      <c r="CH153" s="55"/>
      <c r="CI153" s="55"/>
      <c r="CJ153" s="55"/>
      <c r="CK153" s="55"/>
      <c r="CL153" s="55"/>
      <c r="CM153" s="55"/>
      <c r="CN153" s="55"/>
      <c r="CO153" s="55"/>
      <c r="CP153" s="55"/>
      <c r="CQ153" s="4"/>
      <c r="CR153" s="277"/>
      <c r="CS153" s="277"/>
      <c r="CT153" s="277"/>
      <c r="CU153" s="277"/>
      <c r="CV153" s="277"/>
      <c r="CW153" s="277"/>
      <c r="CX153" s="55"/>
      <c r="CY153" s="55"/>
      <c r="CZ153" s="55"/>
      <c r="DA153" s="55"/>
      <c r="DB153" s="55"/>
      <c r="DC153" s="55"/>
      <c r="DD153" s="55"/>
      <c r="DE153" s="55"/>
      <c r="DF153" s="55"/>
      <c r="DG153" s="55"/>
      <c r="DH153" s="55"/>
      <c r="DI153" s="55"/>
      <c r="DJ153" s="130"/>
      <c r="DK153" s="55"/>
      <c r="DL153" s="55"/>
      <c r="DM153" s="55"/>
      <c r="DN153" s="55"/>
      <c r="DO153" s="130"/>
      <c r="DP153" s="55"/>
      <c r="DQ153" s="55"/>
      <c r="DR153" s="55"/>
      <c r="DS153" s="55"/>
      <c r="DT153" s="55"/>
      <c r="DU153" s="55"/>
      <c r="DV153" s="55"/>
      <c r="DW153" s="55"/>
      <c r="DX153" s="55"/>
      <c r="DY153" s="55"/>
      <c r="DZ153" s="55"/>
      <c r="EA153" s="130"/>
      <c r="EB153" s="55"/>
      <c r="EC153" s="55"/>
      <c r="ED153" s="55"/>
      <c r="EE153" s="55"/>
      <c r="EF153" s="55"/>
      <c r="EG153" s="55"/>
      <c r="EH153" s="55"/>
      <c r="EI153" s="55"/>
      <c r="EJ153" s="55"/>
      <c r="EK153" s="55"/>
      <c r="EL153" s="55"/>
      <c r="EM153" s="55"/>
      <c r="EN153" s="55"/>
      <c r="EO153" s="55"/>
      <c r="EP153" s="55"/>
      <c r="EQ153" s="55"/>
      <c r="ER153" s="55"/>
      <c r="ES153" s="55"/>
      <c r="ET153" s="55"/>
      <c r="EU153" s="55"/>
      <c r="EV153" s="55"/>
      <c r="EW153" s="55"/>
      <c r="EX153" s="55"/>
      <c r="EY153" s="55"/>
      <c r="EZ153" s="55"/>
      <c r="FA153" s="55"/>
      <c r="FB153" s="55"/>
      <c r="FC153" s="55"/>
      <c r="FD153" s="55"/>
      <c r="FE153" s="130"/>
    </row>
    <row r="154" spans="1:161" ht="17.25" customHeight="1" x14ac:dyDescent="0.2">
      <c r="A154" s="124"/>
      <c r="B154" s="124"/>
      <c r="C154" s="124"/>
      <c r="D154" s="124"/>
      <c r="E154" s="124"/>
      <c r="F154" s="124"/>
      <c r="G154" s="124"/>
      <c r="H154" s="124"/>
      <c r="I154" s="124"/>
      <c r="J154" s="124"/>
      <c r="K154" s="124"/>
      <c r="L154" s="124"/>
      <c r="M154" s="124"/>
      <c r="N154" s="124"/>
      <c r="O154" s="124"/>
      <c r="P154" s="124"/>
      <c r="BJ154" s="55"/>
      <c r="BK154" s="55"/>
      <c r="BL154" s="130"/>
      <c r="BM154" s="55"/>
      <c r="BN154" s="55"/>
      <c r="BO154" s="55"/>
      <c r="BP154" s="55"/>
      <c r="BQ154" s="55"/>
      <c r="BR154" s="55"/>
      <c r="BS154" s="55"/>
      <c r="BT154" s="55"/>
      <c r="BU154" s="55"/>
      <c r="BV154" s="55"/>
      <c r="BW154" s="55"/>
      <c r="BX154" s="130"/>
      <c r="BY154" s="55"/>
      <c r="BZ154" s="55"/>
      <c r="CA154" s="55"/>
      <c r="CB154" s="55"/>
      <c r="CC154" s="55"/>
      <c r="CD154" s="55"/>
      <c r="CE154" s="55"/>
      <c r="CF154" s="55"/>
      <c r="CG154" s="55"/>
      <c r="CH154" s="55"/>
      <c r="CI154" s="55"/>
      <c r="CJ154" s="55"/>
      <c r="CK154" s="55"/>
      <c r="CL154" s="55"/>
      <c r="CM154" s="55"/>
      <c r="CN154" s="55"/>
      <c r="CO154" s="55"/>
      <c r="CP154" s="55"/>
      <c r="CQ154" s="55"/>
      <c r="CR154" s="55"/>
      <c r="CS154" s="55"/>
      <c r="CT154" s="55"/>
      <c r="CU154" s="55"/>
      <c r="CV154" s="55"/>
      <c r="CW154" s="55"/>
      <c r="CX154" s="55"/>
      <c r="CY154" s="55"/>
      <c r="CZ154" s="55"/>
      <c r="DA154" s="55"/>
      <c r="DB154" s="55"/>
      <c r="DC154" s="55"/>
      <c r="DD154" s="55"/>
      <c r="DE154" s="55"/>
      <c r="DF154" s="55"/>
      <c r="DG154" s="55"/>
      <c r="DH154" s="55"/>
      <c r="DI154" s="55"/>
      <c r="DJ154" s="130"/>
      <c r="DK154" s="55"/>
      <c r="DL154" s="55"/>
      <c r="DM154" s="55"/>
      <c r="DN154" s="55"/>
      <c r="DO154" s="130"/>
      <c r="DP154" s="55"/>
      <c r="DQ154" s="55"/>
      <c r="DR154" s="55"/>
      <c r="DS154" s="55"/>
      <c r="DT154" s="55"/>
      <c r="DU154" s="55"/>
      <c r="DV154" s="55"/>
      <c r="DW154" s="55"/>
      <c r="DX154" s="55"/>
      <c r="DY154" s="55"/>
      <c r="DZ154" s="55"/>
      <c r="EA154" s="130"/>
      <c r="EB154" s="55"/>
      <c r="EC154" s="55"/>
      <c r="ED154" s="55"/>
      <c r="EE154" s="55"/>
      <c r="EF154" s="55"/>
      <c r="EG154" s="55"/>
      <c r="EH154" s="55"/>
      <c r="EI154" s="55"/>
      <c r="EJ154" s="55"/>
      <c r="EK154" s="55"/>
      <c r="EL154" s="55"/>
      <c r="EM154" s="55"/>
      <c r="EN154" s="55"/>
      <c r="EO154" s="55"/>
      <c r="EP154" s="55"/>
      <c r="EQ154" s="55"/>
      <c r="ER154" s="55"/>
      <c r="ES154" s="55"/>
      <c r="ET154" s="55"/>
      <c r="EU154" s="55"/>
      <c r="EV154" s="55"/>
      <c r="EW154" s="55"/>
      <c r="EX154" s="55"/>
      <c r="EY154" s="55"/>
      <c r="EZ154" s="55"/>
      <c r="FA154" s="55"/>
      <c r="FB154" s="55"/>
      <c r="FC154" s="55"/>
      <c r="FD154" s="55"/>
      <c r="FE154" s="130"/>
    </row>
    <row r="155" spans="1:161" ht="17.25" customHeight="1" x14ac:dyDescent="0.2">
      <c r="A155" s="124"/>
      <c r="B155" s="124"/>
      <c r="C155" s="124"/>
      <c r="D155" s="124"/>
      <c r="E155" s="124"/>
      <c r="F155" s="124"/>
      <c r="G155" s="124"/>
      <c r="H155" s="124"/>
      <c r="I155" s="124"/>
      <c r="J155" s="124"/>
      <c r="K155" s="124"/>
      <c r="L155" s="124"/>
      <c r="M155" s="124"/>
      <c r="N155" s="124"/>
      <c r="O155" s="124"/>
      <c r="P155" s="124"/>
      <c r="BJ155" s="55"/>
      <c r="BK155" s="55"/>
      <c r="BL155" s="130"/>
      <c r="BM155" s="55"/>
      <c r="BN155" s="55"/>
      <c r="BO155" s="55"/>
      <c r="BP155" s="55"/>
      <c r="BQ155" s="55"/>
      <c r="BR155" s="55"/>
      <c r="BS155" s="55"/>
      <c r="BT155" s="55"/>
      <c r="BU155" s="55"/>
      <c r="BV155" s="55"/>
      <c r="BW155" s="55"/>
      <c r="BX155" s="130"/>
      <c r="BY155" s="55"/>
      <c r="BZ155" s="55"/>
      <c r="CA155" s="55"/>
      <c r="CB155" s="55"/>
      <c r="CC155" s="55"/>
      <c r="CD155" s="55"/>
      <c r="CE155" s="55"/>
      <c r="CF155" s="55"/>
      <c r="CG155" s="55"/>
      <c r="CH155" s="55"/>
      <c r="CI155" s="55"/>
      <c r="CJ155" s="55"/>
      <c r="CK155" s="55"/>
      <c r="CL155" s="55"/>
      <c r="CM155" s="55"/>
      <c r="CN155" s="55"/>
      <c r="CO155" s="55"/>
      <c r="CP155" s="55"/>
      <c r="CQ155" s="55"/>
      <c r="CR155" s="55"/>
      <c r="CS155" s="55"/>
      <c r="CT155" s="55"/>
      <c r="CU155" s="55"/>
      <c r="CV155" s="55"/>
      <c r="CW155" s="55"/>
      <c r="CX155" s="55"/>
      <c r="CY155" s="55"/>
      <c r="CZ155" s="55"/>
      <c r="DA155" s="55"/>
      <c r="DB155" s="55"/>
      <c r="DC155" s="55"/>
      <c r="DD155" s="55"/>
      <c r="DE155" s="55"/>
      <c r="DF155" s="55"/>
      <c r="DG155" s="55"/>
      <c r="DH155" s="55"/>
      <c r="DI155" s="55"/>
      <c r="DJ155" s="130"/>
      <c r="DK155" s="55"/>
      <c r="DL155" s="55"/>
      <c r="DM155" s="55"/>
      <c r="DN155" s="55"/>
      <c r="DO155" s="130"/>
      <c r="DP155" s="55"/>
      <c r="DQ155" s="55"/>
      <c r="DR155" s="55"/>
      <c r="DS155" s="55"/>
      <c r="DT155" s="55"/>
      <c r="DU155" s="55"/>
      <c r="DV155" s="55"/>
      <c r="DW155" s="55"/>
      <c r="DX155" s="55"/>
      <c r="DY155" s="55"/>
      <c r="DZ155" s="55"/>
      <c r="EA155" s="130"/>
      <c r="EB155" s="55"/>
      <c r="EC155" s="55"/>
      <c r="ED155" s="55"/>
      <c r="EE155" s="55"/>
      <c r="EF155" s="55"/>
      <c r="EG155" s="55"/>
      <c r="EH155" s="55"/>
      <c r="EI155" s="55"/>
      <c r="EJ155" s="55"/>
      <c r="EK155" s="55"/>
      <c r="EL155" s="55"/>
      <c r="EM155" s="55"/>
      <c r="EN155" s="55"/>
      <c r="EO155" s="55"/>
      <c r="EP155" s="55"/>
      <c r="EQ155" s="55"/>
      <c r="ER155" s="55"/>
      <c r="ES155" s="55"/>
      <c r="ET155" s="55"/>
      <c r="EU155" s="55"/>
      <c r="EV155" s="55"/>
      <c r="EW155" s="55"/>
      <c r="EX155" s="55"/>
      <c r="EY155" s="55"/>
      <c r="EZ155" s="55"/>
      <c r="FA155" s="55"/>
      <c r="FB155" s="55"/>
      <c r="FC155" s="55"/>
      <c r="FD155" s="55"/>
      <c r="FE155" s="130"/>
    </row>
    <row r="156" spans="1:161" ht="17.25" customHeight="1" x14ac:dyDescent="0.2">
      <c r="A156" s="124"/>
      <c r="B156" s="124"/>
      <c r="C156" s="124"/>
      <c r="D156" s="124"/>
      <c r="E156" s="124"/>
      <c r="F156" s="124"/>
      <c r="G156" s="124"/>
      <c r="H156" s="124"/>
      <c r="I156" s="124"/>
      <c r="J156" s="124"/>
      <c r="K156" s="124"/>
      <c r="L156" s="124"/>
      <c r="M156" s="124"/>
      <c r="N156" s="124"/>
      <c r="O156" s="124"/>
      <c r="P156" s="124"/>
      <c r="BJ156" s="55"/>
      <c r="BK156" s="55"/>
      <c r="BL156" s="130"/>
      <c r="BM156" s="55"/>
      <c r="BN156" s="55"/>
      <c r="BO156" s="55"/>
      <c r="BP156" s="55"/>
      <c r="BQ156" s="55"/>
      <c r="BR156" s="55"/>
      <c r="BS156" s="55"/>
      <c r="BT156" s="55"/>
      <c r="BU156" s="55"/>
      <c r="BV156" s="55"/>
      <c r="BW156" s="55"/>
      <c r="BX156" s="130"/>
      <c r="BY156" s="55"/>
      <c r="BZ156" s="55"/>
      <c r="CA156" s="55"/>
      <c r="CB156" s="55"/>
      <c r="CC156" s="55"/>
      <c r="CD156" s="55"/>
      <c r="CE156" s="55"/>
      <c r="CF156" s="55"/>
      <c r="CG156" s="55"/>
      <c r="CH156" s="55"/>
      <c r="CI156" s="55"/>
      <c r="CJ156" s="55"/>
      <c r="CK156" s="55"/>
      <c r="CL156" s="55"/>
      <c r="CM156" s="55"/>
      <c r="CN156" s="55"/>
      <c r="CO156" s="55"/>
      <c r="CP156" s="55"/>
      <c r="CQ156" s="55"/>
      <c r="CR156" s="55"/>
      <c r="CS156" s="55"/>
      <c r="CT156" s="55"/>
      <c r="CU156" s="55"/>
      <c r="CV156" s="55"/>
      <c r="CW156" s="55"/>
      <c r="CX156" s="55"/>
      <c r="CY156" s="55"/>
      <c r="CZ156" s="55"/>
      <c r="DA156" s="55"/>
      <c r="DB156" s="55"/>
      <c r="DC156" s="55"/>
      <c r="DD156" s="55"/>
      <c r="DE156" s="55"/>
      <c r="DF156" s="55"/>
      <c r="DG156" s="55"/>
      <c r="DH156" s="55"/>
      <c r="DI156" s="55"/>
      <c r="DJ156" s="130"/>
      <c r="DK156" s="55"/>
      <c r="DL156" s="55"/>
      <c r="DM156" s="55"/>
      <c r="DN156" s="55"/>
      <c r="DO156" s="130"/>
      <c r="DP156" s="55"/>
      <c r="DQ156" s="55"/>
      <c r="DR156" s="55"/>
      <c r="DS156" s="55"/>
      <c r="DT156" s="55"/>
      <c r="DU156" s="55"/>
      <c r="DV156" s="55"/>
      <c r="DW156" s="55"/>
      <c r="DX156" s="55"/>
      <c r="DY156" s="55"/>
      <c r="DZ156" s="55"/>
      <c r="EA156" s="130"/>
      <c r="EB156" s="55"/>
      <c r="EC156" s="55"/>
      <c r="ED156" s="55"/>
      <c r="EE156" s="55"/>
      <c r="EF156" s="55"/>
      <c r="EG156" s="55"/>
      <c r="EH156" s="55"/>
      <c r="EI156" s="55"/>
      <c r="EJ156" s="55"/>
      <c r="EK156" s="55"/>
      <c r="EL156" s="55"/>
      <c r="EM156" s="55"/>
      <c r="EN156" s="55"/>
      <c r="EO156" s="55"/>
      <c r="EP156" s="55"/>
      <c r="EQ156" s="55"/>
      <c r="ER156" s="55"/>
      <c r="ES156" s="55"/>
      <c r="ET156" s="55"/>
      <c r="EU156" s="55"/>
      <c r="EV156" s="55"/>
      <c r="EW156" s="55"/>
      <c r="EX156" s="55"/>
      <c r="EY156" s="55"/>
      <c r="EZ156" s="55"/>
      <c r="FA156" s="55"/>
      <c r="FB156" s="55"/>
      <c r="FC156" s="55"/>
      <c r="FD156" s="55"/>
      <c r="FE156" s="130"/>
    </row>
    <row r="157" spans="1:161" ht="17.25" customHeight="1" x14ac:dyDescent="0.2">
      <c r="A157" s="124"/>
      <c r="B157" s="124"/>
      <c r="C157" s="124"/>
      <c r="D157" s="124"/>
      <c r="E157" s="124"/>
      <c r="F157" s="124"/>
      <c r="G157" s="124"/>
      <c r="H157" s="124"/>
      <c r="I157" s="124"/>
      <c r="J157" s="124"/>
      <c r="K157" s="124"/>
      <c r="L157" s="124"/>
      <c r="M157" s="124"/>
      <c r="N157" s="124"/>
      <c r="O157" s="124"/>
      <c r="P157" s="124"/>
      <c r="BL157" s="130"/>
      <c r="BM157" s="130"/>
      <c r="BN157" s="130"/>
      <c r="BO157" s="130"/>
      <c r="BP157" s="130"/>
      <c r="BQ157" s="130"/>
      <c r="BR157" s="130"/>
      <c r="BS157" s="130"/>
      <c r="BT157" s="130"/>
      <c r="BU157" s="130"/>
      <c r="BV157" s="130"/>
      <c r="BW157" s="130"/>
      <c r="BX157" s="130"/>
      <c r="BY157" s="130"/>
      <c r="BZ157" s="130"/>
      <c r="CA157" s="130"/>
      <c r="CB157" s="130"/>
      <c r="CC157" s="130"/>
      <c r="CD157" s="130"/>
      <c r="CE157" s="130"/>
      <c r="CF157" s="130"/>
      <c r="CG157" s="130"/>
      <c r="CH157" s="130"/>
      <c r="CI157" s="130"/>
      <c r="CJ157" s="130"/>
      <c r="CK157" s="130"/>
      <c r="CL157" s="130"/>
      <c r="CM157" s="130"/>
      <c r="CN157" s="130"/>
      <c r="CO157" s="130"/>
      <c r="CP157" s="130"/>
      <c r="CQ157" s="130"/>
      <c r="CR157" s="130"/>
      <c r="CS157" s="130"/>
      <c r="CT157" s="130"/>
      <c r="CU157" s="130"/>
      <c r="CV157" s="130"/>
      <c r="CW157" s="130"/>
      <c r="CX157" s="130"/>
      <c r="CY157" s="130"/>
      <c r="CZ157" s="130"/>
      <c r="DA157" s="130"/>
      <c r="DB157" s="130"/>
      <c r="DC157" s="130"/>
      <c r="DD157" s="130"/>
      <c r="DE157" s="130"/>
      <c r="DF157" s="130"/>
      <c r="DG157" s="130"/>
      <c r="DH157" s="130"/>
      <c r="DI157" s="130"/>
      <c r="DJ157" s="130"/>
      <c r="DO157" s="130"/>
      <c r="DP157" s="130"/>
      <c r="DQ157" s="130"/>
      <c r="DR157" s="130"/>
      <c r="DS157" s="130"/>
      <c r="DT157" s="130"/>
      <c r="DU157" s="130"/>
      <c r="DV157" s="130"/>
      <c r="DW157" s="130"/>
      <c r="DX157" s="130"/>
      <c r="DY157" s="130"/>
      <c r="DZ157" s="130"/>
      <c r="EA157" s="130"/>
      <c r="EB157" s="130"/>
      <c r="EC157" s="130"/>
      <c r="ED157" s="130"/>
      <c r="EE157" s="130"/>
      <c r="EF157" s="130"/>
      <c r="EG157" s="130"/>
      <c r="EH157" s="130"/>
      <c r="EI157" s="130"/>
      <c r="EJ157" s="130"/>
      <c r="EK157" s="130"/>
      <c r="EL157" s="130"/>
      <c r="EM157" s="130"/>
      <c r="EN157" s="130"/>
      <c r="EO157" s="130"/>
      <c r="EP157" s="130"/>
      <c r="EQ157" s="130"/>
      <c r="ER157" s="130"/>
      <c r="ES157" s="130"/>
      <c r="ET157" s="130"/>
      <c r="EU157" s="130"/>
      <c r="EV157" s="130"/>
      <c r="EW157" s="130"/>
      <c r="EX157" s="130"/>
      <c r="EY157" s="130"/>
      <c r="EZ157" s="130"/>
      <c r="FA157" s="130"/>
      <c r="FB157" s="130"/>
      <c r="FC157" s="130"/>
      <c r="FD157" s="130"/>
      <c r="FE157" s="130"/>
    </row>
    <row r="158" spans="1:161" ht="17.25" customHeight="1" x14ac:dyDescent="0.2">
      <c r="A158" s="124"/>
      <c r="B158" s="124"/>
      <c r="C158" s="124"/>
      <c r="D158" s="124"/>
      <c r="E158" s="124"/>
      <c r="F158" s="124"/>
      <c r="G158" s="124"/>
      <c r="H158" s="124"/>
      <c r="I158" s="124"/>
      <c r="J158" s="124"/>
      <c r="K158" s="124"/>
      <c r="L158" s="124"/>
      <c r="M158" s="124"/>
      <c r="N158" s="124"/>
      <c r="O158" s="124"/>
      <c r="P158" s="124"/>
      <c r="CT158" s="124"/>
      <c r="CU158" s="124"/>
      <c r="CV158" s="124"/>
      <c r="CW158" s="124"/>
      <c r="CX158" s="124"/>
      <c r="CY158" s="124"/>
      <c r="CZ158" s="124"/>
      <c r="DA158" s="124"/>
      <c r="DB158" s="124"/>
      <c r="DC158" s="124"/>
      <c r="DD158" s="124"/>
      <c r="DE158" s="124"/>
      <c r="DF158" s="124"/>
      <c r="DG158" s="124"/>
      <c r="DH158" s="124"/>
      <c r="DI158" s="124"/>
      <c r="DJ158" s="124"/>
      <c r="DK158" s="124"/>
      <c r="DL158" s="124"/>
      <c r="DM158" s="124"/>
      <c r="DN158" s="124"/>
      <c r="DO158" s="124"/>
      <c r="DP158" s="124"/>
      <c r="DQ158" s="124"/>
      <c r="DR158" s="124"/>
      <c r="DS158" s="124"/>
      <c r="DT158" s="124"/>
      <c r="DU158" s="124"/>
      <c r="DV158" s="124"/>
      <c r="DW158" s="124"/>
      <c r="DX158" s="124"/>
      <c r="DY158" s="124"/>
      <c r="DZ158" s="124"/>
      <c r="EA158" s="124"/>
      <c r="EB158" s="124"/>
      <c r="EC158" s="124"/>
      <c r="ED158" s="124"/>
      <c r="EE158" s="124"/>
      <c r="EF158" s="124"/>
      <c r="EG158" s="124"/>
      <c r="EH158" s="124"/>
      <c r="EI158" s="124"/>
      <c r="EJ158" s="124"/>
      <c r="EK158" s="124"/>
      <c r="EL158" s="124"/>
      <c r="EM158" s="124"/>
      <c r="EN158" s="124"/>
      <c r="EO158" s="124"/>
      <c r="EP158" s="124"/>
      <c r="EQ158" s="124"/>
      <c r="ER158" s="124"/>
      <c r="ES158" s="124"/>
      <c r="ET158" s="124"/>
      <c r="EU158" s="124"/>
      <c r="EV158" s="124"/>
      <c r="EW158" s="124"/>
      <c r="EX158" s="124"/>
      <c r="EY158" s="124"/>
      <c r="EZ158" s="124"/>
      <c r="FA158" s="124"/>
      <c r="FB158" s="124"/>
      <c r="FC158" s="124"/>
      <c r="FD158" s="124"/>
      <c r="FE158" s="124"/>
    </row>
    <row r="159" spans="1:161" ht="17.25" customHeight="1" x14ac:dyDescent="0.2">
      <c r="A159" s="124"/>
      <c r="B159" s="124"/>
      <c r="C159" s="124"/>
      <c r="D159" s="124"/>
      <c r="E159" s="124"/>
      <c r="F159" s="124"/>
      <c r="G159" s="124"/>
      <c r="H159" s="124"/>
      <c r="I159" s="124"/>
      <c r="J159" s="124"/>
      <c r="K159" s="124"/>
      <c r="L159" s="124"/>
      <c r="M159" s="124"/>
      <c r="N159" s="124"/>
      <c r="O159" s="124"/>
      <c r="P159" s="124"/>
      <c r="CT159" s="124"/>
      <c r="CU159" s="124"/>
      <c r="CV159" s="124"/>
      <c r="CW159" s="124"/>
      <c r="CX159" s="124"/>
      <c r="CY159" s="124"/>
      <c r="CZ159" s="124"/>
      <c r="DA159" s="124"/>
      <c r="DB159" s="124"/>
      <c r="DC159" s="124"/>
      <c r="DD159" s="124"/>
      <c r="DE159" s="124"/>
      <c r="DF159" s="124"/>
      <c r="DG159" s="124"/>
      <c r="DH159" s="124"/>
      <c r="DI159" s="124"/>
      <c r="DJ159" s="124"/>
      <c r="DK159" s="124"/>
      <c r="DL159" s="124"/>
      <c r="DM159" s="124"/>
      <c r="DN159" s="124"/>
      <c r="DO159" s="124"/>
      <c r="DP159" s="124"/>
      <c r="DQ159" s="124"/>
      <c r="DR159" s="124"/>
      <c r="DS159" s="124"/>
      <c r="DT159" s="124"/>
      <c r="DU159" s="124"/>
      <c r="DV159" s="124"/>
      <c r="DW159" s="124"/>
      <c r="DX159" s="124"/>
      <c r="DY159" s="124"/>
      <c r="DZ159" s="124"/>
      <c r="EA159" s="124"/>
      <c r="EB159" s="124"/>
      <c r="EC159" s="124"/>
      <c r="ED159" s="124"/>
      <c r="EE159" s="124"/>
      <c r="EF159" s="124"/>
      <c r="EG159" s="124"/>
      <c r="EH159" s="124"/>
      <c r="EI159" s="124"/>
      <c r="EJ159" s="124"/>
      <c r="EK159" s="124"/>
      <c r="EL159" s="124"/>
      <c r="EM159" s="124"/>
      <c r="EN159" s="124"/>
      <c r="EO159" s="124"/>
      <c r="EP159" s="124"/>
      <c r="EQ159" s="124"/>
      <c r="ER159" s="124"/>
      <c r="ES159" s="124"/>
      <c r="ET159" s="124"/>
      <c r="EU159" s="124"/>
      <c r="EV159" s="124"/>
      <c r="EW159" s="124"/>
      <c r="EX159" s="124"/>
      <c r="EY159" s="124"/>
      <c r="EZ159" s="124"/>
      <c r="FA159" s="124"/>
      <c r="FB159" s="124"/>
      <c r="FC159" s="124"/>
      <c r="FD159" s="124"/>
      <c r="FE159" s="124"/>
    </row>
    <row r="160" spans="1:161" ht="17.25" customHeight="1" x14ac:dyDescent="0.2">
      <c r="A160" s="124"/>
      <c r="B160" s="124"/>
      <c r="C160" s="124"/>
      <c r="D160" s="124"/>
      <c r="E160" s="124"/>
      <c r="F160" s="124"/>
      <c r="G160" s="124"/>
      <c r="H160" s="124"/>
      <c r="I160" s="124"/>
      <c r="J160" s="124"/>
      <c r="K160" s="124"/>
      <c r="L160" s="124"/>
      <c r="M160" s="124"/>
      <c r="N160" s="124"/>
      <c r="O160" s="124"/>
      <c r="P160" s="124"/>
      <c r="CT160" s="124"/>
      <c r="CU160" s="124"/>
      <c r="CV160" s="124"/>
      <c r="CW160" s="124"/>
      <c r="CX160" s="124"/>
      <c r="CY160" s="124"/>
      <c r="CZ160" s="124"/>
      <c r="DA160" s="124"/>
      <c r="DB160" s="124"/>
      <c r="DC160" s="124"/>
      <c r="DD160" s="124"/>
      <c r="DE160" s="124"/>
      <c r="DF160" s="124"/>
      <c r="DG160" s="124"/>
      <c r="DH160" s="124"/>
      <c r="DI160" s="124"/>
      <c r="DJ160" s="124"/>
      <c r="DK160" s="124"/>
      <c r="DL160" s="124"/>
      <c r="DM160" s="124"/>
      <c r="DN160" s="124"/>
      <c r="DO160" s="124"/>
      <c r="DP160" s="124"/>
      <c r="DQ160" s="124"/>
      <c r="DR160" s="124"/>
      <c r="DS160" s="124"/>
      <c r="DT160" s="124"/>
      <c r="DU160" s="124"/>
      <c r="DV160" s="124"/>
      <c r="DW160" s="124"/>
      <c r="DX160" s="124"/>
      <c r="DY160" s="124"/>
      <c r="DZ160" s="124"/>
      <c r="EA160" s="124"/>
      <c r="EB160" s="124"/>
      <c r="EC160" s="124"/>
      <c r="ED160" s="124"/>
      <c r="EE160" s="124"/>
      <c r="EF160" s="124"/>
      <c r="EG160" s="124"/>
      <c r="EH160" s="124"/>
      <c r="EI160" s="124"/>
      <c r="EJ160" s="124"/>
      <c r="EK160" s="124"/>
      <c r="EL160" s="124"/>
      <c r="EM160" s="124"/>
      <c r="EN160" s="124"/>
      <c r="EO160" s="124"/>
      <c r="EP160" s="124"/>
      <c r="EQ160" s="124"/>
      <c r="ER160" s="124"/>
      <c r="ES160" s="124"/>
      <c r="ET160" s="124"/>
      <c r="EU160" s="124"/>
      <c r="EV160" s="124"/>
      <c r="EW160" s="124"/>
      <c r="EX160" s="124"/>
      <c r="EY160" s="124"/>
      <c r="EZ160" s="124"/>
      <c r="FA160" s="124"/>
      <c r="FB160" s="124"/>
      <c r="FC160" s="124"/>
      <c r="FD160" s="124"/>
      <c r="FE160" s="124"/>
    </row>
    <row r="161" spans="1:161" ht="17.25" customHeight="1" x14ac:dyDescent="0.2">
      <c r="A161" s="124"/>
      <c r="B161" s="124"/>
      <c r="C161" s="124"/>
      <c r="D161" s="124"/>
      <c r="E161" s="124"/>
      <c r="F161" s="124"/>
      <c r="G161" s="124"/>
      <c r="H161" s="124"/>
      <c r="I161" s="124"/>
      <c r="J161" s="124"/>
      <c r="K161" s="124"/>
      <c r="L161" s="124"/>
      <c r="M161" s="124"/>
      <c r="N161" s="124"/>
      <c r="O161" s="124"/>
      <c r="P161" s="124"/>
      <c r="CT161" s="124"/>
      <c r="CU161" s="124"/>
      <c r="CV161" s="124"/>
      <c r="CW161" s="124"/>
      <c r="CX161" s="124"/>
      <c r="CY161" s="124"/>
      <c r="CZ161" s="124"/>
      <c r="DA161" s="124"/>
      <c r="DB161" s="124"/>
      <c r="DC161" s="124"/>
      <c r="DD161" s="124"/>
      <c r="DE161" s="124"/>
      <c r="DF161" s="124"/>
      <c r="DG161" s="124"/>
      <c r="DH161" s="124"/>
      <c r="DI161" s="124"/>
      <c r="DJ161" s="124"/>
      <c r="DK161" s="124"/>
      <c r="DL161" s="124"/>
      <c r="DM161" s="124"/>
      <c r="DN161" s="124"/>
      <c r="DO161" s="124"/>
      <c r="DP161" s="124"/>
      <c r="DQ161" s="124"/>
      <c r="DR161" s="124"/>
      <c r="DS161" s="124"/>
      <c r="DT161" s="124"/>
      <c r="DU161" s="124"/>
      <c r="DV161" s="124"/>
      <c r="DW161" s="124"/>
      <c r="DX161" s="124"/>
      <c r="DY161" s="124"/>
      <c r="DZ161" s="124"/>
      <c r="EA161" s="124"/>
      <c r="EB161" s="124"/>
      <c r="EC161" s="124"/>
      <c r="ED161" s="124"/>
      <c r="EE161" s="124"/>
      <c r="EF161" s="124"/>
      <c r="EG161" s="124"/>
      <c r="EH161" s="124"/>
      <c r="EI161" s="124"/>
      <c r="EJ161" s="124"/>
      <c r="EK161" s="124"/>
      <c r="EL161" s="124"/>
      <c r="EM161" s="124"/>
      <c r="EN161" s="124"/>
      <c r="EO161" s="124"/>
      <c r="EP161" s="124"/>
      <c r="EQ161" s="124"/>
      <c r="ER161" s="124"/>
      <c r="ES161" s="124"/>
      <c r="ET161" s="124"/>
      <c r="EU161" s="124"/>
      <c r="EV161" s="124"/>
      <c r="EW161" s="124"/>
      <c r="EX161" s="124"/>
      <c r="EY161" s="124"/>
      <c r="EZ161" s="124"/>
      <c r="FA161" s="124"/>
      <c r="FB161" s="124"/>
      <c r="FC161" s="124"/>
      <c r="FD161" s="124"/>
      <c r="FE161" s="124"/>
    </row>
    <row r="162" spans="1:161" ht="17.25" customHeight="1" x14ac:dyDescent="0.2">
      <c r="A162" s="124"/>
      <c r="B162" s="124"/>
      <c r="C162" s="124"/>
      <c r="D162" s="124"/>
      <c r="E162" s="124"/>
      <c r="F162" s="124"/>
      <c r="G162" s="124"/>
      <c r="H162" s="124"/>
      <c r="I162" s="124"/>
      <c r="J162" s="124"/>
      <c r="K162" s="124"/>
      <c r="L162" s="124"/>
      <c r="M162" s="124"/>
      <c r="N162" s="124"/>
      <c r="O162" s="124"/>
      <c r="P162" s="124"/>
      <c r="CT162" s="124"/>
      <c r="CU162" s="124"/>
      <c r="CV162" s="124"/>
      <c r="CW162" s="124"/>
      <c r="CX162" s="124"/>
      <c r="CY162" s="124"/>
      <c r="CZ162" s="124"/>
      <c r="DA162" s="124"/>
      <c r="DB162" s="124"/>
      <c r="DC162" s="124"/>
      <c r="DD162" s="124"/>
      <c r="DE162" s="124"/>
      <c r="DF162" s="124"/>
      <c r="DG162" s="124"/>
      <c r="DH162" s="124"/>
      <c r="DI162" s="124"/>
      <c r="DJ162" s="124"/>
      <c r="DK162" s="124"/>
      <c r="DL162" s="124"/>
      <c r="DM162" s="124"/>
      <c r="DN162" s="124"/>
      <c r="DO162" s="124"/>
      <c r="DP162" s="124"/>
      <c r="DQ162" s="124"/>
      <c r="DR162" s="124"/>
      <c r="DS162" s="124"/>
      <c r="DT162" s="124"/>
      <c r="DU162" s="124"/>
      <c r="DV162" s="124"/>
      <c r="DW162" s="124"/>
      <c r="DX162" s="124"/>
      <c r="DY162" s="124"/>
      <c r="DZ162" s="124"/>
      <c r="EA162" s="124"/>
      <c r="EB162" s="124"/>
      <c r="EC162" s="124"/>
      <c r="ED162" s="124"/>
      <c r="EE162" s="124"/>
      <c r="EF162" s="124"/>
      <c r="EG162" s="124"/>
      <c r="EH162" s="124"/>
      <c r="EI162" s="124"/>
      <c r="EJ162" s="124"/>
      <c r="EK162" s="124"/>
      <c r="EL162" s="124"/>
      <c r="EM162" s="124"/>
      <c r="EN162" s="124"/>
      <c r="EO162" s="124"/>
      <c r="EP162" s="124"/>
      <c r="EQ162" s="124"/>
      <c r="ER162" s="124"/>
      <c r="ES162" s="124"/>
      <c r="ET162" s="124"/>
      <c r="EU162" s="124"/>
      <c r="EV162" s="124"/>
      <c r="EW162" s="124"/>
      <c r="EX162" s="124"/>
      <c r="EY162" s="124"/>
      <c r="EZ162" s="124"/>
      <c r="FA162" s="124"/>
      <c r="FB162" s="124"/>
      <c r="FC162" s="124"/>
      <c r="FD162" s="124"/>
      <c r="FE162" s="124"/>
    </row>
    <row r="163" spans="1:161" ht="17.25" customHeight="1" x14ac:dyDescent="0.2">
      <c r="A163" s="124"/>
      <c r="B163" s="124"/>
      <c r="C163" s="124"/>
      <c r="D163" s="124"/>
      <c r="E163" s="124"/>
      <c r="F163" s="124"/>
      <c r="G163" s="124"/>
      <c r="H163" s="124"/>
      <c r="I163" s="124"/>
      <c r="J163" s="124"/>
      <c r="K163" s="124"/>
      <c r="L163" s="124"/>
      <c r="M163" s="124"/>
      <c r="N163" s="124"/>
      <c r="O163" s="124"/>
      <c r="P163" s="124"/>
      <c r="CT163" s="124"/>
      <c r="CU163" s="124"/>
      <c r="CV163" s="124"/>
      <c r="CW163" s="124"/>
      <c r="CX163" s="124"/>
      <c r="CY163" s="124"/>
      <c r="CZ163" s="124"/>
      <c r="DA163" s="124"/>
      <c r="DB163" s="124"/>
      <c r="DC163" s="124"/>
      <c r="DD163" s="124"/>
      <c r="DE163" s="124"/>
      <c r="DF163" s="124"/>
      <c r="DG163" s="124"/>
      <c r="DH163" s="124"/>
      <c r="DI163" s="124"/>
      <c r="DJ163" s="124"/>
      <c r="DK163" s="124"/>
      <c r="DL163" s="124"/>
      <c r="DM163" s="124"/>
      <c r="DN163" s="124"/>
      <c r="DO163" s="124"/>
      <c r="DP163" s="124"/>
      <c r="DQ163" s="124"/>
      <c r="DR163" s="124"/>
      <c r="DS163" s="124"/>
      <c r="DT163" s="124"/>
      <c r="DU163" s="124"/>
      <c r="DV163" s="124"/>
      <c r="DW163" s="124"/>
      <c r="DX163" s="124"/>
      <c r="DY163" s="124"/>
      <c r="DZ163" s="124"/>
      <c r="EA163" s="124"/>
      <c r="EB163" s="124"/>
      <c r="EC163" s="124"/>
      <c r="ED163" s="124"/>
      <c r="EE163" s="124"/>
      <c r="EF163" s="124"/>
      <c r="EG163" s="124"/>
      <c r="EH163" s="124"/>
      <c r="EI163" s="124"/>
      <c r="EJ163" s="124"/>
      <c r="EK163" s="124"/>
      <c r="EL163" s="124"/>
      <c r="EM163" s="124"/>
      <c r="EN163" s="124"/>
      <c r="EO163" s="124"/>
      <c r="EP163" s="124"/>
      <c r="EQ163" s="124"/>
      <c r="ER163" s="124"/>
      <c r="ES163" s="124"/>
      <c r="ET163" s="124"/>
      <c r="EU163" s="124"/>
      <c r="EV163" s="124"/>
      <c r="EW163" s="124"/>
      <c r="EX163" s="124"/>
      <c r="EY163" s="124"/>
      <c r="EZ163" s="124"/>
      <c r="FA163" s="124"/>
      <c r="FB163" s="124"/>
      <c r="FC163" s="124"/>
      <c r="FD163" s="124"/>
      <c r="FE163" s="124"/>
    </row>
    <row r="164" spans="1:161" ht="17.25" customHeight="1" x14ac:dyDescent="0.2">
      <c r="A164" s="124"/>
      <c r="B164" s="124"/>
      <c r="C164" s="124"/>
      <c r="D164" s="124"/>
      <c r="E164" s="124"/>
      <c r="F164" s="124"/>
      <c r="G164" s="124"/>
      <c r="H164" s="124"/>
      <c r="I164" s="124"/>
      <c r="J164" s="124"/>
      <c r="K164" s="124"/>
      <c r="L164" s="124"/>
      <c r="M164" s="124"/>
      <c r="N164" s="124"/>
      <c r="O164" s="124"/>
      <c r="P164" s="124"/>
      <c r="CT164" s="124"/>
      <c r="CU164" s="124"/>
      <c r="CV164" s="124"/>
      <c r="CW164" s="124"/>
      <c r="CX164" s="124"/>
      <c r="CY164" s="124"/>
      <c r="CZ164" s="124"/>
      <c r="DA164" s="124"/>
      <c r="DB164" s="124"/>
      <c r="DC164" s="124"/>
      <c r="DD164" s="124"/>
      <c r="DE164" s="124"/>
      <c r="DF164" s="124"/>
      <c r="DG164" s="124"/>
      <c r="DH164" s="124"/>
      <c r="DI164" s="124"/>
      <c r="DJ164" s="124"/>
      <c r="DK164" s="124"/>
      <c r="DL164" s="124"/>
      <c r="DM164" s="124"/>
      <c r="DN164" s="124"/>
      <c r="DO164" s="124"/>
      <c r="DP164" s="124"/>
      <c r="DQ164" s="124"/>
      <c r="DR164" s="124"/>
      <c r="DS164" s="124"/>
      <c r="DT164" s="124"/>
      <c r="DU164" s="124"/>
      <c r="DV164" s="124"/>
      <c r="DW164" s="124"/>
      <c r="DX164" s="124"/>
      <c r="DY164" s="124"/>
      <c r="DZ164" s="124"/>
      <c r="EA164" s="124"/>
      <c r="EB164" s="124"/>
      <c r="EC164" s="124"/>
      <c r="ED164" s="124"/>
      <c r="EE164" s="124"/>
      <c r="EF164" s="124"/>
      <c r="EG164" s="124"/>
      <c r="EH164" s="124"/>
      <c r="EI164" s="124"/>
      <c r="EJ164" s="124"/>
      <c r="EK164" s="124"/>
      <c r="EL164" s="124"/>
      <c r="EM164" s="124"/>
      <c r="EN164" s="124"/>
      <c r="EO164" s="124"/>
      <c r="EP164" s="124"/>
      <c r="EQ164" s="124"/>
      <c r="ER164" s="124"/>
      <c r="ES164" s="124"/>
      <c r="ET164" s="124"/>
      <c r="EU164" s="124"/>
      <c r="EV164" s="124"/>
      <c r="EW164" s="124"/>
      <c r="EX164" s="124"/>
      <c r="EY164" s="124"/>
      <c r="EZ164" s="124"/>
      <c r="FA164" s="124"/>
      <c r="FB164" s="124"/>
      <c r="FC164" s="124"/>
      <c r="FD164" s="124"/>
      <c r="FE164" s="124"/>
    </row>
    <row r="165" spans="1:161" ht="17.25" customHeight="1" x14ac:dyDescent="0.2">
      <c r="A165" s="124"/>
      <c r="B165" s="124"/>
      <c r="C165" s="124"/>
      <c r="D165" s="124"/>
      <c r="E165" s="124"/>
      <c r="F165" s="124"/>
      <c r="G165" s="124"/>
      <c r="H165" s="124"/>
      <c r="I165" s="124"/>
      <c r="J165" s="124"/>
      <c r="K165" s="124"/>
      <c r="L165" s="124"/>
      <c r="M165" s="124"/>
      <c r="N165" s="124"/>
      <c r="O165" s="124"/>
      <c r="P165" s="124"/>
      <c r="CT165" s="124"/>
      <c r="CU165" s="124"/>
      <c r="CV165" s="124"/>
      <c r="CW165" s="124"/>
      <c r="CX165" s="124"/>
      <c r="CY165" s="124"/>
      <c r="CZ165" s="124"/>
      <c r="DA165" s="124"/>
      <c r="DB165" s="124"/>
      <c r="DC165" s="124"/>
      <c r="DD165" s="124"/>
      <c r="DE165" s="124"/>
      <c r="DF165" s="124"/>
      <c r="DG165" s="124"/>
      <c r="DH165" s="124"/>
      <c r="DI165" s="124"/>
      <c r="DJ165" s="124"/>
      <c r="DK165" s="124"/>
      <c r="DL165" s="124"/>
      <c r="DM165" s="124"/>
      <c r="DN165" s="124"/>
      <c r="DO165" s="124"/>
      <c r="DP165" s="124"/>
      <c r="DQ165" s="124"/>
      <c r="DR165" s="124"/>
      <c r="DS165" s="124"/>
      <c r="DT165" s="124"/>
      <c r="DU165" s="124"/>
      <c r="DV165" s="124"/>
      <c r="DW165" s="124"/>
      <c r="DX165" s="124"/>
      <c r="DY165" s="124"/>
      <c r="DZ165" s="124"/>
      <c r="EA165" s="124"/>
      <c r="EB165" s="124"/>
      <c r="EC165" s="124"/>
      <c r="ED165" s="124"/>
      <c r="EE165" s="124"/>
      <c r="EF165" s="124"/>
      <c r="EG165" s="124"/>
      <c r="EH165" s="124"/>
      <c r="EI165" s="124"/>
      <c r="EJ165" s="124"/>
      <c r="EK165" s="124"/>
      <c r="EL165" s="124"/>
      <c r="EM165" s="124"/>
      <c r="EN165" s="124"/>
      <c r="EO165" s="124"/>
      <c r="EP165" s="124"/>
      <c r="EQ165" s="124"/>
      <c r="ER165" s="124"/>
      <c r="ES165" s="124"/>
      <c r="ET165" s="124"/>
      <c r="EU165" s="124"/>
      <c r="EV165" s="124"/>
      <c r="EW165" s="124"/>
      <c r="EX165" s="124"/>
      <c r="EY165" s="124"/>
      <c r="EZ165" s="124"/>
      <c r="FA165" s="124"/>
      <c r="FB165" s="124"/>
      <c r="FC165" s="124"/>
      <c r="FD165" s="124"/>
      <c r="FE165" s="124"/>
    </row>
    <row r="166" spans="1:161" ht="17.25" customHeight="1" x14ac:dyDescent="0.2">
      <c r="A166" s="124"/>
      <c r="B166" s="124"/>
      <c r="C166" s="124"/>
      <c r="D166" s="124"/>
      <c r="E166" s="124"/>
      <c r="F166" s="124"/>
      <c r="G166" s="124"/>
      <c r="H166" s="124"/>
      <c r="I166" s="124"/>
      <c r="J166" s="124"/>
      <c r="K166" s="124"/>
      <c r="L166" s="124"/>
      <c r="M166" s="124"/>
      <c r="N166" s="124"/>
      <c r="O166" s="124"/>
      <c r="P166" s="124"/>
      <c r="CT166" s="124"/>
      <c r="CU166" s="124"/>
      <c r="CV166" s="124"/>
      <c r="CW166" s="124"/>
      <c r="CX166" s="124"/>
      <c r="CY166" s="124"/>
      <c r="CZ166" s="124"/>
      <c r="DA166" s="124"/>
      <c r="DB166" s="124"/>
      <c r="DC166" s="124"/>
      <c r="DD166" s="124"/>
      <c r="DE166" s="124"/>
      <c r="DF166" s="124"/>
      <c r="DG166" s="124"/>
      <c r="DH166" s="124"/>
      <c r="DI166" s="124"/>
      <c r="DJ166" s="124"/>
      <c r="DK166" s="124"/>
      <c r="DL166" s="124"/>
      <c r="DM166" s="124"/>
      <c r="DN166" s="124"/>
      <c r="DO166" s="124"/>
      <c r="DP166" s="124"/>
      <c r="DQ166" s="124"/>
      <c r="DR166" s="124"/>
      <c r="DS166" s="124"/>
      <c r="DT166" s="124"/>
      <c r="DU166" s="124"/>
      <c r="DV166" s="124"/>
      <c r="DW166" s="124"/>
      <c r="DX166" s="124"/>
      <c r="DY166" s="124"/>
      <c r="DZ166" s="124"/>
      <c r="EA166" s="124"/>
      <c r="EB166" s="124"/>
      <c r="EC166" s="124"/>
      <c r="ED166" s="124"/>
      <c r="EE166" s="124"/>
      <c r="EF166" s="124"/>
      <c r="EG166" s="124"/>
      <c r="EH166" s="124"/>
      <c r="EI166" s="124"/>
      <c r="EJ166" s="124"/>
      <c r="EK166" s="124"/>
      <c r="EL166" s="124"/>
      <c r="EM166" s="124"/>
      <c r="EN166" s="124"/>
      <c r="EO166" s="124"/>
      <c r="EP166" s="124"/>
      <c r="EQ166" s="124"/>
      <c r="ER166" s="124"/>
      <c r="ES166" s="124"/>
      <c r="ET166" s="124"/>
      <c r="EU166" s="124"/>
      <c r="EV166" s="124"/>
      <c r="EW166" s="124"/>
      <c r="EX166" s="124"/>
      <c r="EY166" s="124"/>
      <c r="EZ166" s="124"/>
      <c r="FA166" s="124"/>
      <c r="FB166" s="124"/>
      <c r="FC166" s="124"/>
      <c r="FD166" s="124"/>
      <c r="FE166" s="124"/>
    </row>
    <row r="167" spans="1:161" ht="17.25" customHeight="1" x14ac:dyDescent="0.2">
      <c r="A167" s="124"/>
      <c r="B167" s="124"/>
      <c r="C167" s="124"/>
      <c r="D167" s="124"/>
      <c r="E167" s="124"/>
      <c r="F167" s="124"/>
      <c r="G167" s="124"/>
      <c r="H167" s="124"/>
      <c r="I167" s="124"/>
      <c r="J167" s="124"/>
      <c r="K167" s="124"/>
      <c r="L167" s="124"/>
      <c r="M167" s="124"/>
      <c r="N167" s="124"/>
      <c r="O167" s="124"/>
      <c r="P167" s="124"/>
      <c r="CT167" s="124"/>
      <c r="CU167" s="124"/>
      <c r="CV167" s="124"/>
      <c r="CW167" s="124"/>
      <c r="CX167" s="124"/>
      <c r="CY167" s="124"/>
      <c r="CZ167" s="124"/>
      <c r="DA167" s="124"/>
      <c r="DB167" s="124"/>
      <c r="DC167" s="124"/>
      <c r="DD167" s="124"/>
      <c r="DE167" s="124"/>
      <c r="DF167" s="124"/>
      <c r="DG167" s="124"/>
      <c r="DH167" s="124"/>
      <c r="DI167" s="124"/>
      <c r="DJ167" s="124"/>
      <c r="DK167" s="124"/>
      <c r="DL167" s="124"/>
      <c r="DM167" s="124"/>
      <c r="DN167" s="124"/>
      <c r="DO167" s="124"/>
      <c r="DP167" s="124"/>
      <c r="DQ167" s="124"/>
      <c r="DR167" s="124"/>
      <c r="DS167" s="124"/>
      <c r="DT167" s="124"/>
      <c r="DU167" s="124"/>
      <c r="DV167" s="124"/>
      <c r="DW167" s="124"/>
      <c r="DX167" s="124"/>
      <c r="DY167" s="124"/>
      <c r="DZ167" s="124"/>
      <c r="EA167" s="124"/>
      <c r="EB167" s="124"/>
      <c r="EC167" s="124"/>
      <c r="ED167" s="124"/>
      <c r="EE167" s="124"/>
      <c r="EF167" s="124"/>
      <c r="EG167" s="124"/>
      <c r="EH167" s="124"/>
      <c r="EI167" s="124"/>
      <c r="EJ167" s="124"/>
      <c r="EK167" s="124"/>
      <c r="EL167" s="124"/>
      <c r="EM167" s="124"/>
      <c r="EN167" s="124"/>
      <c r="EO167" s="124"/>
      <c r="EP167" s="124"/>
      <c r="EQ167" s="124"/>
      <c r="ER167" s="124"/>
      <c r="ES167" s="124"/>
      <c r="ET167" s="124"/>
      <c r="EU167" s="124"/>
      <c r="EV167" s="124"/>
      <c r="EW167" s="124"/>
      <c r="EX167" s="124"/>
      <c r="EY167" s="124"/>
      <c r="EZ167" s="124"/>
      <c r="FA167" s="124"/>
      <c r="FB167" s="124"/>
      <c r="FC167" s="124"/>
      <c r="FD167" s="124"/>
      <c r="FE167" s="124"/>
    </row>
    <row r="168" spans="1:161" ht="17.25" customHeight="1" x14ac:dyDescent="0.2">
      <c r="A168" s="124"/>
      <c r="B168" s="124"/>
      <c r="C168" s="124"/>
      <c r="D168" s="124"/>
      <c r="E168" s="124"/>
      <c r="F168" s="124"/>
      <c r="G168" s="124"/>
      <c r="H168" s="124"/>
      <c r="I168" s="124"/>
      <c r="J168" s="124"/>
      <c r="K168" s="124"/>
      <c r="L168" s="124"/>
      <c r="M168" s="124"/>
      <c r="N168" s="124"/>
      <c r="O168" s="124"/>
      <c r="P168" s="124"/>
      <c r="CT168" s="124"/>
      <c r="CU168" s="124"/>
      <c r="CV168" s="124"/>
      <c r="CW168" s="124"/>
      <c r="CX168" s="124"/>
      <c r="CY168" s="124"/>
      <c r="CZ168" s="124"/>
      <c r="DA168" s="124"/>
      <c r="DB168" s="124"/>
      <c r="DC168" s="124"/>
      <c r="DD168" s="124"/>
      <c r="DE168" s="124"/>
      <c r="DF168" s="124"/>
      <c r="DG168" s="124"/>
      <c r="DH168" s="124"/>
      <c r="DI168" s="124"/>
      <c r="DJ168" s="124"/>
      <c r="DK168" s="124"/>
      <c r="DL168" s="124"/>
      <c r="DM168" s="124"/>
      <c r="DN168" s="124"/>
      <c r="DO168" s="124"/>
      <c r="DP168" s="124"/>
      <c r="DQ168" s="124"/>
      <c r="DR168" s="124"/>
      <c r="DS168" s="124"/>
      <c r="DT168" s="124"/>
      <c r="DU168" s="124"/>
      <c r="DV168" s="124"/>
      <c r="DW168" s="124"/>
      <c r="DX168" s="124"/>
      <c r="DY168" s="124"/>
      <c r="DZ168" s="124"/>
      <c r="EA168" s="124"/>
      <c r="EB168" s="124"/>
      <c r="EC168" s="124"/>
      <c r="ED168" s="124"/>
      <c r="EE168" s="124"/>
      <c r="EF168" s="124"/>
      <c r="EG168" s="124"/>
      <c r="EH168" s="124"/>
      <c r="EI168" s="124"/>
      <c r="EJ168" s="124"/>
      <c r="EK168" s="124"/>
      <c r="EL168" s="124"/>
      <c r="EM168" s="124"/>
      <c r="EN168" s="124"/>
      <c r="EO168" s="124"/>
      <c r="EP168" s="124"/>
      <c r="EQ168" s="124"/>
      <c r="ER168" s="124"/>
      <c r="ES168" s="124"/>
      <c r="ET168" s="124"/>
      <c r="EU168" s="124"/>
      <c r="EV168" s="124"/>
      <c r="EW168" s="124"/>
      <c r="EX168" s="124"/>
      <c r="EY168" s="124"/>
      <c r="EZ168" s="124"/>
      <c r="FA168" s="124"/>
      <c r="FB168" s="124"/>
      <c r="FC168" s="124"/>
      <c r="FD168" s="124"/>
      <c r="FE168" s="124"/>
    </row>
    <row r="169" spans="1:161" x14ac:dyDescent="0.2">
      <c r="A169" s="124"/>
      <c r="B169" s="124"/>
      <c r="C169" s="124"/>
      <c r="D169" s="124"/>
      <c r="E169" s="124"/>
      <c r="F169" s="124"/>
      <c r="G169" s="124"/>
      <c r="H169" s="124"/>
      <c r="I169" s="124"/>
      <c r="J169" s="124"/>
      <c r="K169" s="124"/>
      <c r="L169" s="124"/>
      <c r="M169" s="124"/>
      <c r="N169" s="124"/>
      <c r="O169" s="124"/>
      <c r="P169" s="124"/>
      <c r="CT169" s="124"/>
      <c r="CU169" s="124"/>
      <c r="CV169" s="124"/>
      <c r="CW169" s="124"/>
      <c r="CX169" s="124"/>
      <c r="CY169" s="124"/>
      <c r="CZ169" s="124"/>
      <c r="DA169" s="124"/>
      <c r="DB169" s="124"/>
      <c r="DC169" s="124"/>
      <c r="DD169" s="124"/>
      <c r="DE169" s="124"/>
      <c r="DF169" s="124"/>
      <c r="DG169" s="124"/>
      <c r="DH169" s="124"/>
      <c r="DI169" s="124"/>
      <c r="DJ169" s="124"/>
      <c r="DK169" s="124"/>
      <c r="DL169" s="124"/>
      <c r="DM169" s="124"/>
      <c r="DN169" s="124"/>
      <c r="DO169" s="124"/>
      <c r="DP169" s="124"/>
      <c r="DQ169" s="124"/>
      <c r="DR169" s="124"/>
      <c r="DS169" s="124"/>
      <c r="DT169" s="124"/>
      <c r="DU169" s="124"/>
      <c r="DV169" s="124"/>
      <c r="DW169" s="124"/>
      <c r="DX169" s="124"/>
      <c r="DY169" s="124"/>
      <c r="DZ169" s="124"/>
      <c r="EA169" s="124"/>
      <c r="EB169" s="124"/>
      <c r="EC169" s="124"/>
      <c r="ED169" s="124"/>
      <c r="EE169" s="124"/>
      <c r="EF169" s="124"/>
      <c r="EG169" s="124"/>
      <c r="EH169" s="124"/>
      <c r="EI169" s="124"/>
      <c r="EJ169" s="124"/>
      <c r="EK169" s="124"/>
      <c r="EL169" s="124"/>
      <c r="EM169" s="124"/>
      <c r="EN169" s="124"/>
      <c r="EO169" s="124"/>
      <c r="EP169" s="124"/>
      <c r="EQ169" s="124"/>
      <c r="ER169" s="124"/>
      <c r="ES169" s="124"/>
      <c r="ET169" s="124"/>
      <c r="EU169" s="124"/>
      <c r="EV169" s="124"/>
      <c r="EW169" s="124"/>
      <c r="EX169" s="124"/>
      <c r="EY169" s="124"/>
      <c r="EZ169" s="124"/>
      <c r="FA169" s="124"/>
      <c r="FB169" s="124"/>
      <c r="FC169" s="124"/>
      <c r="FD169" s="124"/>
      <c r="FE169" s="124"/>
    </row>
    <row r="170" spans="1:161" x14ac:dyDescent="0.2">
      <c r="A170" s="124"/>
      <c r="B170" s="124"/>
      <c r="C170" s="124"/>
      <c r="D170" s="124"/>
      <c r="E170" s="124"/>
      <c r="F170" s="124"/>
      <c r="G170" s="124"/>
      <c r="H170" s="124"/>
      <c r="I170" s="124"/>
      <c r="J170" s="124"/>
      <c r="K170" s="124"/>
      <c r="L170" s="124"/>
      <c r="M170" s="124"/>
      <c r="N170" s="124"/>
      <c r="O170" s="124"/>
      <c r="P170" s="124"/>
      <c r="CT170" s="124"/>
      <c r="CU170" s="124"/>
      <c r="CV170" s="124"/>
      <c r="CW170" s="124"/>
      <c r="CX170" s="124"/>
      <c r="CY170" s="124"/>
      <c r="CZ170" s="124"/>
      <c r="DA170" s="124"/>
      <c r="DB170" s="124"/>
      <c r="DC170" s="124"/>
      <c r="DD170" s="124"/>
      <c r="DE170" s="124"/>
      <c r="DF170" s="124"/>
      <c r="DG170" s="124"/>
      <c r="DH170" s="124"/>
      <c r="DI170" s="124"/>
      <c r="DJ170" s="124"/>
      <c r="DK170" s="124"/>
      <c r="DL170" s="124"/>
      <c r="DM170" s="124"/>
      <c r="DN170" s="124"/>
      <c r="DO170" s="124"/>
      <c r="DP170" s="124"/>
      <c r="DQ170" s="124"/>
      <c r="DR170" s="124"/>
      <c r="DS170" s="124"/>
      <c r="DT170" s="124"/>
      <c r="DU170" s="124"/>
      <c r="DV170" s="124"/>
      <c r="DW170" s="124"/>
      <c r="DX170" s="124"/>
      <c r="DY170" s="124"/>
      <c r="DZ170" s="124"/>
      <c r="EA170" s="124"/>
      <c r="EB170" s="124"/>
      <c r="EC170" s="124"/>
      <c r="ED170" s="124"/>
      <c r="EE170" s="124"/>
      <c r="EF170" s="124"/>
      <c r="EG170" s="124"/>
      <c r="EH170" s="124"/>
      <c r="EI170" s="124"/>
      <c r="EJ170" s="124"/>
      <c r="EK170" s="124"/>
      <c r="EL170" s="124"/>
      <c r="EM170" s="124"/>
      <c r="EN170" s="124"/>
      <c r="EO170" s="124"/>
      <c r="EP170" s="124"/>
      <c r="EQ170" s="124"/>
      <c r="ER170" s="124"/>
      <c r="ES170" s="124"/>
      <c r="ET170" s="124"/>
      <c r="EU170" s="124"/>
      <c r="EV170" s="124"/>
      <c r="EW170" s="124"/>
      <c r="EX170" s="124"/>
      <c r="EY170" s="124"/>
      <c r="EZ170" s="124"/>
      <c r="FA170" s="124"/>
      <c r="FB170" s="124"/>
      <c r="FC170" s="124"/>
      <c r="FD170" s="124"/>
      <c r="FE170" s="124"/>
    </row>
    <row r="171" spans="1:161" x14ac:dyDescent="0.2">
      <c r="A171" s="124"/>
      <c r="B171" s="124"/>
      <c r="C171" s="124"/>
      <c r="D171" s="124"/>
      <c r="E171" s="124"/>
      <c r="F171" s="124"/>
      <c r="G171" s="124"/>
      <c r="H171" s="124"/>
      <c r="I171" s="124"/>
      <c r="J171" s="124"/>
      <c r="K171" s="124"/>
      <c r="L171" s="124"/>
      <c r="M171" s="124"/>
      <c r="N171" s="124"/>
      <c r="O171" s="124"/>
      <c r="P171" s="124"/>
      <c r="CT171" s="124"/>
      <c r="CU171" s="124"/>
      <c r="CV171" s="124"/>
      <c r="CW171" s="124"/>
      <c r="CX171" s="124"/>
      <c r="CY171" s="124"/>
      <c r="CZ171" s="124"/>
      <c r="DA171" s="124"/>
      <c r="DB171" s="124"/>
      <c r="DC171" s="124"/>
      <c r="DD171" s="124"/>
      <c r="DE171" s="124"/>
      <c r="DF171" s="124"/>
      <c r="DG171" s="124"/>
      <c r="DH171" s="124"/>
      <c r="DI171" s="124"/>
      <c r="DJ171" s="124"/>
      <c r="DK171" s="124"/>
      <c r="DL171" s="124"/>
      <c r="DM171" s="124"/>
      <c r="DN171" s="124"/>
      <c r="DO171" s="124"/>
      <c r="DP171" s="124"/>
      <c r="DQ171" s="124"/>
      <c r="DR171" s="124"/>
      <c r="DS171" s="124"/>
      <c r="DT171" s="124"/>
      <c r="DU171" s="124"/>
      <c r="DV171" s="124"/>
      <c r="DW171" s="124"/>
      <c r="DX171" s="124"/>
      <c r="DY171" s="124"/>
      <c r="DZ171" s="124"/>
      <c r="EA171" s="124"/>
      <c r="EB171" s="124"/>
      <c r="EC171" s="124"/>
      <c r="ED171" s="124"/>
      <c r="EE171" s="124"/>
      <c r="EF171" s="124"/>
      <c r="EG171" s="124"/>
      <c r="EH171" s="124"/>
      <c r="EI171" s="124"/>
      <c r="EJ171" s="124"/>
      <c r="EK171" s="124"/>
      <c r="EL171" s="124"/>
      <c r="EM171" s="124"/>
      <c r="EN171" s="124"/>
      <c r="EO171" s="124"/>
      <c r="EP171" s="124"/>
      <c r="EQ171" s="124"/>
      <c r="ER171" s="124"/>
      <c r="ES171" s="124"/>
      <c r="ET171" s="124"/>
      <c r="EU171" s="124"/>
      <c r="EV171" s="124"/>
      <c r="EW171" s="124"/>
      <c r="EX171" s="124"/>
      <c r="EY171" s="124"/>
      <c r="EZ171" s="124"/>
      <c r="FA171" s="124"/>
      <c r="FB171" s="124"/>
      <c r="FC171" s="124"/>
      <c r="FD171" s="124"/>
      <c r="FE171" s="124"/>
    </row>
    <row r="172" spans="1:161" x14ac:dyDescent="0.2">
      <c r="A172" s="124"/>
      <c r="B172" s="124"/>
      <c r="C172" s="124"/>
      <c r="D172" s="124"/>
      <c r="E172" s="124"/>
      <c r="F172" s="124"/>
      <c r="G172" s="124"/>
      <c r="H172" s="124"/>
      <c r="I172" s="124"/>
      <c r="J172" s="124"/>
      <c r="K172" s="124"/>
      <c r="L172" s="124"/>
      <c r="M172" s="124"/>
      <c r="N172" s="124"/>
      <c r="O172" s="124"/>
      <c r="P172" s="124"/>
      <c r="CT172" s="124"/>
      <c r="CU172" s="124"/>
      <c r="CV172" s="124"/>
      <c r="CW172" s="124"/>
      <c r="CX172" s="124"/>
      <c r="CY172" s="124"/>
      <c r="CZ172" s="124"/>
      <c r="DA172" s="124"/>
      <c r="DB172" s="124"/>
      <c r="DC172" s="124"/>
      <c r="DD172" s="124"/>
      <c r="DE172" s="124"/>
      <c r="DF172" s="124"/>
      <c r="DG172" s="124"/>
      <c r="DH172" s="124"/>
      <c r="DI172" s="124"/>
      <c r="DJ172" s="124"/>
      <c r="DK172" s="124"/>
      <c r="DL172" s="124"/>
      <c r="DM172" s="124"/>
      <c r="DN172" s="124"/>
      <c r="DO172" s="124"/>
      <c r="DP172" s="124"/>
      <c r="DQ172" s="124"/>
      <c r="DR172" s="124"/>
      <c r="DS172" s="124"/>
      <c r="DT172" s="124"/>
      <c r="DU172" s="124"/>
      <c r="DV172" s="124"/>
      <c r="DW172" s="124"/>
      <c r="DX172" s="124"/>
      <c r="DY172" s="124"/>
      <c r="DZ172" s="124"/>
      <c r="EA172" s="124"/>
      <c r="EB172" s="124"/>
      <c r="EC172" s="124"/>
      <c r="ED172" s="124"/>
      <c r="EE172" s="124"/>
      <c r="EF172" s="124"/>
      <c r="EG172" s="124"/>
      <c r="EH172" s="124"/>
      <c r="EI172" s="124"/>
      <c r="EJ172" s="124"/>
      <c r="EK172" s="124"/>
      <c r="EL172" s="124"/>
      <c r="EM172" s="124"/>
      <c r="EN172" s="124"/>
      <c r="EO172" s="124"/>
      <c r="EP172" s="124"/>
      <c r="EQ172" s="124"/>
      <c r="ER172" s="124"/>
      <c r="ES172" s="124"/>
      <c r="ET172" s="124"/>
      <c r="EU172" s="124"/>
      <c r="EV172" s="124"/>
      <c r="EW172" s="124"/>
      <c r="EX172" s="124"/>
      <c r="EY172" s="124"/>
      <c r="EZ172" s="124"/>
      <c r="FA172" s="124"/>
      <c r="FB172" s="124"/>
      <c r="FC172" s="124"/>
      <c r="FD172" s="124"/>
      <c r="FE172" s="124"/>
    </row>
    <row r="173" spans="1:161" x14ac:dyDescent="0.2">
      <c r="A173" s="124"/>
      <c r="B173" s="124"/>
      <c r="C173" s="124"/>
      <c r="D173" s="124"/>
      <c r="E173" s="124"/>
      <c r="F173" s="124"/>
      <c r="G173" s="124"/>
      <c r="H173" s="124"/>
      <c r="I173" s="124"/>
      <c r="J173" s="124"/>
      <c r="K173" s="124"/>
      <c r="L173" s="124"/>
      <c r="M173" s="124"/>
      <c r="N173" s="124"/>
      <c r="O173" s="124"/>
      <c r="P173" s="124"/>
      <c r="CT173" s="124"/>
      <c r="CU173" s="124"/>
      <c r="CV173" s="124"/>
      <c r="CW173" s="124"/>
      <c r="CX173" s="124"/>
      <c r="CY173" s="124"/>
      <c r="CZ173" s="124"/>
      <c r="DA173" s="124"/>
      <c r="DB173" s="124"/>
      <c r="DC173" s="124"/>
      <c r="DD173" s="124"/>
      <c r="DE173" s="124"/>
      <c r="DF173" s="124"/>
      <c r="DG173" s="124"/>
      <c r="DH173" s="124"/>
      <c r="DI173" s="124"/>
      <c r="DJ173" s="124"/>
      <c r="DK173" s="124"/>
      <c r="DL173" s="124"/>
      <c r="DM173" s="124"/>
      <c r="DN173" s="124"/>
      <c r="DO173" s="124"/>
      <c r="DP173" s="124"/>
      <c r="DQ173" s="124"/>
      <c r="DR173" s="124"/>
      <c r="DS173" s="124"/>
      <c r="DT173" s="124"/>
      <c r="DU173" s="124"/>
      <c r="DV173" s="124"/>
      <c r="DW173" s="124"/>
      <c r="DX173" s="124"/>
      <c r="DY173" s="124"/>
      <c r="DZ173" s="124"/>
      <c r="EA173" s="124"/>
      <c r="EB173" s="124"/>
      <c r="EC173" s="124"/>
      <c r="ED173" s="124"/>
      <c r="EE173" s="124"/>
      <c r="EF173" s="124"/>
      <c r="EG173" s="124"/>
      <c r="EH173" s="124"/>
      <c r="EI173" s="124"/>
      <c r="EJ173" s="124"/>
      <c r="EK173" s="124"/>
      <c r="EL173" s="124"/>
      <c r="EM173" s="124"/>
      <c r="EN173" s="124"/>
      <c r="EO173" s="124"/>
      <c r="EP173" s="124"/>
      <c r="EQ173" s="124"/>
      <c r="ER173" s="124"/>
      <c r="ES173" s="124"/>
      <c r="ET173" s="124"/>
      <c r="EU173" s="124"/>
      <c r="EV173" s="124"/>
      <c r="EW173" s="124"/>
      <c r="EX173" s="124"/>
      <c r="EY173" s="124"/>
      <c r="EZ173" s="124"/>
      <c r="FA173" s="124"/>
      <c r="FB173" s="124"/>
      <c r="FC173" s="124"/>
      <c r="FD173" s="124"/>
      <c r="FE173" s="124"/>
    </row>
    <row r="174" spans="1:161" x14ac:dyDescent="0.2">
      <c r="A174" s="124"/>
      <c r="B174" s="124"/>
      <c r="C174" s="124"/>
      <c r="D174" s="124"/>
      <c r="E174" s="124"/>
      <c r="F174" s="124"/>
      <c r="G174" s="124"/>
      <c r="H174" s="124"/>
      <c r="I174" s="124"/>
      <c r="J174" s="124"/>
      <c r="K174" s="124"/>
      <c r="L174" s="124"/>
      <c r="M174" s="124"/>
      <c r="N174" s="124"/>
      <c r="O174" s="124"/>
      <c r="P174" s="124"/>
      <c r="CT174" s="124"/>
      <c r="CU174" s="124"/>
      <c r="CV174" s="124"/>
      <c r="CW174" s="124"/>
      <c r="CX174" s="124"/>
      <c r="CY174" s="124"/>
      <c r="CZ174" s="124"/>
      <c r="DA174" s="124"/>
      <c r="DB174" s="124"/>
      <c r="DC174" s="124"/>
      <c r="DD174" s="124"/>
      <c r="DE174" s="124"/>
      <c r="DF174" s="124"/>
      <c r="DG174" s="124"/>
      <c r="DH174" s="124"/>
      <c r="DI174" s="124"/>
      <c r="DJ174" s="124"/>
      <c r="DK174" s="124"/>
      <c r="DL174" s="124"/>
      <c r="DM174" s="124"/>
      <c r="DN174" s="124"/>
      <c r="DO174" s="124"/>
      <c r="DP174" s="124"/>
      <c r="DQ174" s="124"/>
      <c r="DR174" s="124"/>
      <c r="DS174" s="124"/>
      <c r="DT174" s="124"/>
      <c r="DU174" s="124"/>
      <c r="DV174" s="124"/>
      <c r="DW174" s="124"/>
      <c r="DX174" s="124"/>
      <c r="DY174" s="124"/>
      <c r="DZ174" s="124"/>
      <c r="EA174" s="124"/>
      <c r="EB174" s="124"/>
      <c r="EC174" s="124"/>
      <c r="ED174" s="124"/>
      <c r="EE174" s="124"/>
      <c r="EF174" s="124"/>
      <c r="EG174" s="124"/>
      <c r="EH174" s="124"/>
      <c r="EI174" s="124"/>
      <c r="EJ174" s="124"/>
      <c r="EK174" s="124"/>
      <c r="EL174" s="124"/>
      <c r="EM174" s="124"/>
      <c r="EN174" s="124"/>
      <c r="EO174" s="124"/>
      <c r="EP174" s="124"/>
      <c r="EQ174" s="124"/>
      <c r="ER174" s="124"/>
      <c r="ES174" s="124"/>
      <c r="ET174" s="124"/>
      <c r="EU174" s="124"/>
      <c r="EV174" s="124"/>
      <c r="EW174" s="124"/>
      <c r="EX174" s="124"/>
      <c r="EY174" s="124"/>
      <c r="EZ174" s="124"/>
      <c r="FA174" s="124"/>
      <c r="FB174" s="124"/>
      <c r="FC174" s="124"/>
      <c r="FD174" s="124"/>
      <c r="FE174" s="124"/>
    </row>
    <row r="175" spans="1:161" x14ac:dyDescent="0.2">
      <c r="A175" s="124"/>
      <c r="B175" s="124"/>
      <c r="C175" s="124"/>
      <c r="D175" s="124"/>
      <c r="E175" s="124"/>
      <c r="F175" s="124"/>
      <c r="G175" s="124"/>
      <c r="H175" s="124"/>
      <c r="I175" s="124"/>
      <c r="J175" s="124"/>
      <c r="K175" s="124"/>
      <c r="L175" s="124"/>
      <c r="M175" s="124"/>
      <c r="N175" s="124"/>
      <c r="O175" s="124"/>
      <c r="P175" s="124"/>
      <c r="CT175" s="124"/>
      <c r="CU175" s="124"/>
      <c r="CV175" s="124"/>
      <c r="CW175" s="124"/>
      <c r="CX175" s="124"/>
      <c r="CY175" s="124"/>
      <c r="CZ175" s="124"/>
      <c r="DA175" s="124"/>
      <c r="DB175" s="124"/>
      <c r="DC175" s="124"/>
      <c r="DD175" s="124"/>
      <c r="DE175" s="124"/>
      <c r="DF175" s="124"/>
      <c r="DG175" s="124"/>
      <c r="DH175" s="124"/>
      <c r="DI175" s="124"/>
      <c r="DJ175" s="124"/>
      <c r="DK175" s="124"/>
      <c r="DL175" s="124"/>
      <c r="DM175" s="124"/>
      <c r="DN175" s="124"/>
      <c r="DO175" s="124"/>
      <c r="DP175" s="124"/>
      <c r="DQ175" s="124"/>
      <c r="DR175" s="124"/>
      <c r="DS175" s="124"/>
      <c r="DT175" s="124"/>
      <c r="DU175" s="124"/>
      <c r="DV175" s="124"/>
      <c r="DW175" s="124"/>
      <c r="DX175" s="124"/>
      <c r="DY175" s="124"/>
      <c r="DZ175" s="124"/>
      <c r="EA175" s="124"/>
      <c r="EB175" s="124"/>
      <c r="EC175" s="124"/>
      <c r="ED175" s="124"/>
      <c r="EE175" s="124"/>
      <c r="EF175" s="124"/>
      <c r="EG175" s="124"/>
      <c r="EH175" s="124"/>
      <c r="EI175" s="124"/>
      <c r="EJ175" s="124"/>
      <c r="EK175" s="124"/>
      <c r="EL175" s="124"/>
      <c r="EM175" s="124"/>
      <c r="EN175" s="124"/>
      <c r="EO175" s="124"/>
      <c r="EP175" s="124"/>
      <c r="EQ175" s="124"/>
      <c r="ER175" s="124"/>
      <c r="ES175" s="124"/>
      <c r="ET175" s="124"/>
      <c r="EU175" s="124"/>
      <c r="EV175" s="124"/>
      <c r="EW175" s="124"/>
      <c r="EX175" s="124"/>
      <c r="EY175" s="124"/>
      <c r="EZ175" s="124"/>
      <c r="FA175" s="124"/>
      <c r="FB175" s="124"/>
      <c r="FC175" s="124"/>
      <c r="FD175" s="124"/>
      <c r="FE175" s="124"/>
    </row>
    <row r="176" spans="1:161" x14ac:dyDescent="0.2">
      <c r="A176" s="124"/>
      <c r="B176" s="124"/>
      <c r="C176" s="124"/>
      <c r="D176" s="124"/>
      <c r="E176" s="124"/>
      <c r="F176" s="124"/>
      <c r="G176" s="124"/>
      <c r="H176" s="124"/>
      <c r="I176" s="124"/>
      <c r="J176" s="124"/>
      <c r="K176" s="124"/>
      <c r="L176" s="124"/>
      <c r="M176" s="124"/>
      <c r="N176" s="124"/>
      <c r="O176" s="124"/>
      <c r="P176" s="124"/>
      <c r="CT176" s="124"/>
      <c r="CU176" s="124"/>
      <c r="CV176" s="124"/>
      <c r="CW176" s="124"/>
      <c r="CX176" s="124"/>
      <c r="CY176" s="124"/>
      <c r="CZ176" s="124"/>
      <c r="DA176" s="124"/>
      <c r="DB176" s="124"/>
      <c r="DC176" s="124"/>
      <c r="DD176" s="124"/>
      <c r="DE176" s="124"/>
      <c r="DF176" s="124"/>
      <c r="DG176" s="124"/>
      <c r="DH176" s="124"/>
      <c r="DI176" s="124"/>
      <c r="DJ176" s="124"/>
      <c r="DK176" s="124"/>
      <c r="DL176" s="124"/>
      <c r="DM176" s="124"/>
      <c r="DN176" s="124"/>
      <c r="DO176" s="124"/>
      <c r="DP176" s="124"/>
      <c r="DQ176" s="124"/>
      <c r="DR176" s="124"/>
      <c r="DS176" s="124"/>
      <c r="DT176" s="124"/>
      <c r="DU176" s="124"/>
      <c r="DV176" s="124"/>
      <c r="DW176" s="124"/>
      <c r="DX176" s="124"/>
      <c r="DY176" s="124"/>
      <c r="DZ176" s="124"/>
      <c r="EA176" s="124"/>
      <c r="EB176" s="124"/>
      <c r="EC176" s="124"/>
      <c r="ED176" s="124"/>
      <c r="EE176" s="124"/>
      <c r="EF176" s="124"/>
      <c r="EG176" s="124"/>
      <c r="EH176" s="124"/>
      <c r="EI176" s="124"/>
      <c r="EJ176" s="124"/>
      <c r="EK176" s="124"/>
      <c r="EL176" s="124"/>
      <c r="EM176" s="124"/>
      <c r="EN176" s="124"/>
      <c r="EO176" s="124"/>
      <c r="EP176" s="124"/>
      <c r="EQ176" s="124"/>
      <c r="ER176" s="124"/>
      <c r="ES176" s="124"/>
      <c r="ET176" s="124"/>
      <c r="EU176" s="124"/>
      <c r="EV176" s="124"/>
      <c r="EW176" s="124"/>
      <c r="EX176" s="124"/>
      <c r="EY176" s="124"/>
      <c r="EZ176" s="124"/>
      <c r="FA176" s="124"/>
      <c r="FB176" s="124"/>
      <c r="FC176" s="124"/>
      <c r="FD176" s="124"/>
      <c r="FE176" s="124"/>
    </row>
    <row r="177" spans="1:161" x14ac:dyDescent="0.2">
      <c r="A177" s="124"/>
      <c r="B177" s="124"/>
      <c r="C177" s="124"/>
      <c r="D177" s="124"/>
      <c r="E177" s="124"/>
      <c r="F177" s="124"/>
      <c r="G177" s="124"/>
      <c r="H177" s="124"/>
      <c r="I177" s="124"/>
      <c r="J177" s="124"/>
      <c r="K177" s="124"/>
      <c r="L177" s="124"/>
      <c r="M177" s="124"/>
      <c r="N177" s="124"/>
      <c r="O177" s="124"/>
      <c r="P177" s="124"/>
      <c r="CT177" s="124"/>
      <c r="CU177" s="124"/>
      <c r="CV177" s="124"/>
      <c r="CW177" s="124"/>
      <c r="CX177" s="124"/>
      <c r="CY177" s="124"/>
      <c r="CZ177" s="124"/>
      <c r="DA177" s="124"/>
      <c r="DB177" s="124"/>
      <c r="DC177" s="124"/>
      <c r="DD177" s="124"/>
      <c r="DE177" s="124"/>
      <c r="DF177" s="124"/>
      <c r="DG177" s="124"/>
      <c r="DH177" s="124"/>
      <c r="DI177" s="124"/>
      <c r="DJ177" s="124"/>
      <c r="DK177" s="124"/>
      <c r="DL177" s="124"/>
      <c r="DM177" s="124"/>
      <c r="DN177" s="124"/>
      <c r="DO177" s="124"/>
      <c r="DP177" s="124"/>
      <c r="DQ177" s="124"/>
      <c r="DR177" s="124"/>
      <c r="DS177" s="124"/>
      <c r="DT177" s="124"/>
      <c r="DU177" s="124"/>
      <c r="DV177" s="124"/>
      <c r="DW177" s="124"/>
      <c r="DX177" s="124"/>
      <c r="DY177" s="124"/>
      <c r="DZ177" s="124"/>
      <c r="EA177" s="124"/>
      <c r="EB177" s="124"/>
      <c r="EC177" s="124"/>
      <c r="ED177" s="124"/>
      <c r="EE177" s="124"/>
      <c r="EF177" s="124"/>
      <c r="EG177" s="124"/>
      <c r="EH177" s="124"/>
      <c r="EI177" s="124"/>
      <c r="EJ177" s="124"/>
      <c r="EK177" s="124"/>
      <c r="EL177" s="124"/>
      <c r="EM177" s="124"/>
      <c r="EN177" s="124"/>
      <c r="EO177" s="124"/>
      <c r="EP177" s="124"/>
      <c r="EQ177" s="124"/>
      <c r="ER177" s="124"/>
      <c r="ES177" s="124"/>
      <c r="ET177" s="124"/>
      <c r="EU177" s="124"/>
      <c r="EV177" s="124"/>
      <c r="EW177" s="124"/>
      <c r="EX177" s="124"/>
      <c r="EY177" s="124"/>
      <c r="EZ177" s="124"/>
      <c r="FA177" s="124"/>
      <c r="FB177" s="124"/>
      <c r="FC177" s="124"/>
      <c r="FD177" s="124"/>
      <c r="FE177" s="124"/>
    </row>
    <row r="178" spans="1:161" x14ac:dyDescent="0.2">
      <c r="A178" s="124"/>
      <c r="B178" s="124"/>
      <c r="C178" s="124"/>
      <c r="D178" s="124"/>
      <c r="E178" s="124"/>
      <c r="F178" s="124"/>
      <c r="G178" s="124"/>
      <c r="H178" s="124"/>
      <c r="I178" s="124"/>
      <c r="J178" s="124"/>
      <c r="K178" s="124"/>
      <c r="L178" s="124"/>
      <c r="M178" s="124"/>
      <c r="N178" s="124"/>
      <c r="O178" s="124"/>
      <c r="P178" s="124"/>
      <c r="CT178" s="124"/>
      <c r="CU178" s="124"/>
      <c r="CV178" s="124"/>
      <c r="CW178" s="124"/>
      <c r="CX178" s="124"/>
      <c r="CY178" s="124"/>
      <c r="CZ178" s="124"/>
      <c r="DA178" s="124"/>
      <c r="DB178" s="124"/>
      <c r="DC178" s="124"/>
      <c r="DD178" s="124"/>
      <c r="DE178" s="124"/>
      <c r="DF178" s="124"/>
      <c r="DG178" s="124"/>
      <c r="DH178" s="124"/>
      <c r="DI178" s="124"/>
      <c r="DJ178" s="124"/>
      <c r="DK178" s="124"/>
      <c r="DL178" s="124"/>
      <c r="DM178" s="124"/>
      <c r="DN178" s="124"/>
      <c r="DO178" s="124"/>
      <c r="DP178" s="124"/>
      <c r="DQ178" s="124"/>
      <c r="DR178" s="124"/>
      <c r="DS178" s="124"/>
      <c r="DT178" s="124"/>
      <c r="DU178" s="124"/>
      <c r="DV178" s="124"/>
      <c r="DW178" s="124"/>
      <c r="DX178" s="124"/>
      <c r="DY178" s="124"/>
      <c r="DZ178" s="124"/>
      <c r="EA178" s="124"/>
      <c r="EB178" s="124"/>
      <c r="EC178" s="124"/>
      <c r="ED178" s="124"/>
      <c r="EE178" s="124"/>
      <c r="EF178" s="124"/>
      <c r="EG178" s="124"/>
      <c r="EH178" s="124"/>
      <c r="EI178" s="124"/>
      <c r="EJ178" s="124"/>
      <c r="EK178" s="124"/>
      <c r="EL178" s="124"/>
      <c r="EM178" s="124"/>
      <c r="EN178" s="124"/>
      <c r="EO178" s="124"/>
      <c r="EP178" s="124"/>
      <c r="EQ178" s="124"/>
      <c r="ER178" s="124"/>
      <c r="ES178" s="124"/>
      <c r="ET178" s="124"/>
      <c r="EU178" s="124"/>
      <c r="EV178" s="124"/>
      <c r="EW178" s="124"/>
      <c r="EX178" s="124"/>
      <c r="EY178" s="124"/>
      <c r="EZ178" s="124"/>
      <c r="FA178" s="124"/>
      <c r="FB178" s="124"/>
      <c r="FC178" s="124"/>
      <c r="FD178" s="124"/>
      <c r="FE178" s="124"/>
    </row>
    <row r="179" spans="1:161" x14ac:dyDescent="0.2">
      <c r="A179" s="124"/>
      <c r="B179" s="124"/>
      <c r="C179" s="124"/>
      <c r="D179" s="124"/>
      <c r="E179" s="124"/>
      <c r="F179" s="124"/>
      <c r="G179" s="124"/>
      <c r="H179" s="124"/>
      <c r="I179" s="124"/>
      <c r="J179" s="124"/>
      <c r="K179" s="124"/>
      <c r="L179" s="124"/>
      <c r="M179" s="124"/>
      <c r="N179" s="124"/>
      <c r="O179" s="124"/>
      <c r="P179" s="124"/>
      <c r="CT179" s="124"/>
      <c r="CU179" s="124"/>
      <c r="CV179" s="124"/>
      <c r="CW179" s="124"/>
      <c r="CX179" s="124"/>
      <c r="CY179" s="124"/>
      <c r="CZ179" s="124"/>
      <c r="DA179" s="124"/>
      <c r="DB179" s="124"/>
      <c r="DC179" s="124"/>
      <c r="DD179" s="124"/>
      <c r="DE179" s="124"/>
      <c r="DF179" s="124"/>
      <c r="DG179" s="124"/>
      <c r="DH179" s="124"/>
      <c r="DI179" s="124"/>
      <c r="DJ179" s="124"/>
      <c r="DK179" s="124"/>
      <c r="DL179" s="124"/>
      <c r="DM179" s="124"/>
      <c r="DN179" s="124"/>
      <c r="DO179" s="124"/>
      <c r="DP179" s="124"/>
      <c r="DQ179" s="124"/>
      <c r="DR179" s="124"/>
      <c r="DS179" s="124"/>
      <c r="DT179" s="124"/>
      <c r="DU179" s="124"/>
      <c r="DV179" s="124"/>
      <c r="DW179" s="124"/>
      <c r="DX179" s="124"/>
      <c r="DY179" s="124"/>
      <c r="DZ179" s="124"/>
      <c r="EA179" s="124"/>
      <c r="EB179" s="124"/>
      <c r="EC179" s="124"/>
      <c r="ED179" s="124"/>
      <c r="EE179" s="124"/>
      <c r="EF179" s="124"/>
      <c r="EG179" s="124"/>
      <c r="EH179" s="124"/>
      <c r="EI179" s="124"/>
      <c r="EJ179" s="124"/>
      <c r="EK179" s="124"/>
      <c r="EL179" s="124"/>
      <c r="EM179" s="124"/>
      <c r="EN179" s="124"/>
      <c r="EO179" s="124"/>
      <c r="EP179" s="124"/>
      <c r="EQ179" s="124"/>
      <c r="ER179" s="124"/>
      <c r="ES179" s="124"/>
      <c r="ET179" s="124"/>
      <c r="EU179" s="124"/>
      <c r="EV179" s="124"/>
      <c r="EW179" s="124"/>
      <c r="EX179" s="124"/>
      <c r="EY179" s="124"/>
      <c r="EZ179" s="124"/>
      <c r="FA179" s="124"/>
      <c r="FB179" s="124"/>
      <c r="FC179" s="124"/>
      <c r="FD179" s="124"/>
      <c r="FE179" s="124"/>
    </row>
    <row r="180" spans="1:161" x14ac:dyDescent="0.2">
      <c r="A180" s="124"/>
      <c r="B180" s="124"/>
      <c r="C180" s="124"/>
      <c r="D180" s="124"/>
      <c r="E180" s="124"/>
      <c r="F180" s="124"/>
      <c r="G180" s="124"/>
      <c r="H180" s="124"/>
      <c r="I180" s="124"/>
      <c r="J180" s="124"/>
      <c r="K180" s="124"/>
      <c r="L180" s="124"/>
      <c r="M180" s="124"/>
      <c r="N180" s="124"/>
      <c r="O180" s="124"/>
      <c r="P180" s="124"/>
      <c r="CT180" s="124"/>
      <c r="CU180" s="124"/>
      <c r="CV180" s="124"/>
      <c r="CW180" s="124"/>
      <c r="CX180" s="124"/>
      <c r="CY180" s="124"/>
      <c r="CZ180" s="124"/>
      <c r="DA180" s="124"/>
      <c r="DB180" s="124"/>
      <c r="DC180" s="124"/>
      <c r="DD180" s="124"/>
      <c r="DE180" s="124"/>
      <c r="DF180" s="124"/>
      <c r="DG180" s="124"/>
      <c r="DH180" s="124"/>
      <c r="DI180" s="124"/>
      <c r="DJ180" s="124"/>
      <c r="DK180" s="124"/>
      <c r="DL180" s="124"/>
      <c r="DM180" s="124"/>
      <c r="DN180" s="124"/>
      <c r="DO180" s="124"/>
      <c r="DP180" s="124"/>
      <c r="DQ180" s="124"/>
      <c r="DR180" s="124"/>
      <c r="DS180" s="124"/>
      <c r="DT180" s="124"/>
      <c r="DU180" s="124"/>
      <c r="DV180" s="124"/>
      <c r="DW180" s="124"/>
      <c r="DX180" s="124"/>
      <c r="DY180" s="124"/>
      <c r="DZ180" s="124"/>
      <c r="EA180" s="124"/>
      <c r="EB180" s="124"/>
      <c r="EC180" s="124"/>
      <c r="ED180" s="124"/>
      <c r="EE180" s="124"/>
      <c r="EF180" s="124"/>
      <c r="EG180" s="124"/>
      <c r="EH180" s="124"/>
      <c r="EI180" s="124"/>
      <c r="EJ180" s="124"/>
      <c r="EK180" s="124"/>
      <c r="EL180" s="124"/>
      <c r="EM180" s="124"/>
      <c r="EN180" s="124"/>
      <c r="EO180" s="124"/>
      <c r="EP180" s="124"/>
      <c r="EQ180" s="124"/>
      <c r="ER180" s="124"/>
      <c r="ES180" s="124"/>
      <c r="ET180" s="124"/>
      <c r="EU180" s="124"/>
      <c r="EV180" s="124"/>
      <c r="EW180" s="124"/>
      <c r="EX180" s="124"/>
      <c r="EY180" s="124"/>
      <c r="EZ180" s="124"/>
      <c r="FA180" s="124"/>
      <c r="FB180" s="124"/>
      <c r="FC180" s="124"/>
      <c r="FD180" s="124"/>
      <c r="FE180" s="124"/>
    </row>
    <row r="181" spans="1:161" x14ac:dyDescent="0.2">
      <c r="A181" s="124"/>
      <c r="B181" s="124"/>
      <c r="C181" s="124"/>
      <c r="D181" s="124"/>
      <c r="E181" s="124"/>
      <c r="F181" s="124"/>
      <c r="G181" s="124"/>
      <c r="H181" s="124"/>
      <c r="I181" s="124"/>
      <c r="J181" s="124"/>
      <c r="K181" s="124"/>
      <c r="L181" s="124"/>
      <c r="M181" s="124"/>
      <c r="N181" s="124"/>
      <c r="O181" s="124"/>
      <c r="P181" s="124"/>
      <c r="CT181" s="124"/>
      <c r="CU181" s="124"/>
      <c r="CV181" s="124"/>
      <c r="CW181" s="124"/>
      <c r="CX181" s="124"/>
      <c r="CY181" s="124"/>
      <c r="CZ181" s="124"/>
      <c r="DA181" s="124"/>
      <c r="DB181" s="124"/>
      <c r="DC181" s="124"/>
      <c r="DD181" s="124"/>
      <c r="DE181" s="124"/>
      <c r="DF181" s="124"/>
      <c r="DG181" s="124"/>
      <c r="DH181" s="124"/>
      <c r="DI181" s="124"/>
      <c r="DJ181" s="124"/>
      <c r="DK181" s="124"/>
      <c r="DL181" s="124"/>
      <c r="DM181" s="124"/>
      <c r="DN181" s="124"/>
      <c r="DO181" s="124"/>
      <c r="DP181" s="124"/>
      <c r="DQ181" s="124"/>
      <c r="DR181" s="124"/>
      <c r="DS181" s="124"/>
      <c r="DT181" s="124"/>
      <c r="DU181" s="124"/>
      <c r="DV181" s="124"/>
      <c r="DW181" s="124"/>
      <c r="DX181" s="124"/>
      <c r="DY181" s="124"/>
      <c r="DZ181" s="124"/>
      <c r="EA181" s="124"/>
      <c r="EB181" s="124"/>
      <c r="EC181" s="124"/>
      <c r="ED181" s="124"/>
      <c r="EE181" s="124"/>
      <c r="EF181" s="124"/>
      <c r="EG181" s="124"/>
      <c r="EH181" s="124"/>
      <c r="EI181" s="124"/>
      <c r="EJ181" s="124"/>
      <c r="EK181" s="124"/>
      <c r="EL181" s="124"/>
      <c r="EM181" s="124"/>
      <c r="EN181" s="124"/>
      <c r="EO181" s="124"/>
      <c r="EP181" s="124"/>
      <c r="EQ181" s="124"/>
      <c r="ER181" s="124"/>
      <c r="ES181" s="124"/>
      <c r="ET181" s="124"/>
      <c r="EU181" s="124"/>
      <c r="EV181" s="124"/>
      <c r="EW181" s="124"/>
      <c r="EX181" s="124"/>
      <c r="EY181" s="124"/>
      <c r="EZ181" s="124"/>
      <c r="FA181" s="124"/>
      <c r="FB181" s="124"/>
      <c r="FC181" s="124"/>
      <c r="FD181" s="124"/>
      <c r="FE181" s="124"/>
    </row>
    <row r="182" spans="1:161" x14ac:dyDescent="0.2">
      <c r="A182" s="124"/>
      <c r="B182" s="124"/>
      <c r="C182" s="124"/>
      <c r="D182" s="124"/>
      <c r="E182" s="124"/>
      <c r="F182" s="124"/>
      <c r="G182" s="124"/>
      <c r="H182" s="124"/>
      <c r="I182" s="124"/>
      <c r="J182" s="124"/>
      <c r="K182" s="124"/>
      <c r="L182" s="124"/>
      <c r="M182" s="124"/>
      <c r="N182" s="124"/>
      <c r="O182" s="124"/>
      <c r="P182" s="124"/>
      <c r="CT182" s="124"/>
      <c r="CU182" s="124"/>
      <c r="CV182" s="124"/>
      <c r="CW182" s="124"/>
      <c r="CX182" s="124"/>
      <c r="CY182" s="124"/>
      <c r="CZ182" s="124"/>
      <c r="DA182" s="124"/>
      <c r="DB182" s="124"/>
      <c r="DC182" s="124"/>
      <c r="DD182" s="124"/>
      <c r="DE182" s="124"/>
      <c r="DF182" s="124"/>
      <c r="DG182" s="124"/>
      <c r="DH182" s="124"/>
      <c r="DI182" s="124"/>
      <c r="DJ182" s="124"/>
      <c r="DK182" s="124"/>
      <c r="DL182" s="124"/>
      <c r="DM182" s="124"/>
      <c r="DN182" s="124"/>
      <c r="DO182" s="124"/>
      <c r="DP182" s="124"/>
      <c r="DQ182" s="124"/>
      <c r="DR182" s="124"/>
      <c r="DS182" s="124"/>
      <c r="DT182" s="124"/>
      <c r="DU182" s="124"/>
      <c r="DV182" s="124"/>
      <c r="DW182" s="124"/>
      <c r="DX182" s="124"/>
      <c r="DY182" s="124"/>
      <c r="DZ182" s="124"/>
      <c r="EA182" s="124"/>
      <c r="EB182" s="124"/>
      <c r="EC182" s="124"/>
      <c r="ED182" s="124"/>
      <c r="EE182" s="124"/>
      <c r="EF182" s="124"/>
      <c r="EG182" s="124"/>
      <c r="EH182" s="124"/>
      <c r="EI182" s="124"/>
      <c r="EJ182" s="124"/>
      <c r="EK182" s="124"/>
      <c r="EL182" s="124"/>
      <c r="EM182" s="124"/>
      <c r="EN182" s="124"/>
      <c r="EO182" s="124"/>
      <c r="EP182" s="124"/>
      <c r="EQ182" s="124"/>
      <c r="ER182" s="124"/>
      <c r="ES182" s="124"/>
      <c r="ET182" s="124"/>
      <c r="EU182" s="124"/>
      <c r="EV182" s="124"/>
      <c r="EW182" s="124"/>
      <c r="EX182" s="124"/>
      <c r="EY182" s="124"/>
      <c r="EZ182" s="124"/>
      <c r="FA182" s="124"/>
      <c r="FB182" s="124"/>
      <c r="FC182" s="124"/>
      <c r="FD182" s="124"/>
      <c r="FE182" s="124"/>
    </row>
    <row r="183" spans="1:161" x14ac:dyDescent="0.2">
      <c r="A183" s="124"/>
      <c r="B183" s="124"/>
      <c r="C183" s="124"/>
      <c r="D183" s="124"/>
      <c r="E183" s="124"/>
      <c r="F183" s="124"/>
      <c r="G183" s="124"/>
      <c r="H183" s="124"/>
      <c r="I183" s="124"/>
      <c r="J183" s="124"/>
      <c r="K183" s="124"/>
      <c r="L183" s="124"/>
      <c r="M183" s="124"/>
      <c r="N183" s="124"/>
      <c r="O183" s="124"/>
      <c r="P183" s="124"/>
      <c r="CT183" s="124"/>
      <c r="CU183" s="124"/>
      <c r="CV183" s="124"/>
      <c r="CW183" s="124"/>
      <c r="CX183" s="124"/>
      <c r="CY183" s="124"/>
      <c r="CZ183" s="124"/>
      <c r="DA183" s="124"/>
      <c r="DB183" s="124"/>
      <c r="DC183" s="124"/>
      <c r="DD183" s="124"/>
      <c r="DE183" s="124"/>
      <c r="DF183" s="124"/>
      <c r="DG183" s="124"/>
      <c r="DH183" s="124"/>
      <c r="DI183" s="124"/>
      <c r="DJ183" s="124"/>
      <c r="DK183" s="124"/>
      <c r="DL183" s="124"/>
      <c r="DM183" s="124"/>
      <c r="DN183" s="124"/>
      <c r="DO183" s="124"/>
      <c r="DP183" s="124"/>
      <c r="DQ183" s="124"/>
      <c r="DR183" s="124"/>
      <c r="DS183" s="124"/>
      <c r="DT183" s="124"/>
      <c r="DU183" s="124"/>
      <c r="DV183" s="124"/>
      <c r="DW183" s="124"/>
      <c r="DX183" s="124"/>
      <c r="DY183" s="124"/>
      <c r="DZ183" s="124"/>
      <c r="EA183" s="124"/>
      <c r="EB183" s="124"/>
      <c r="EC183" s="124"/>
      <c r="ED183" s="124"/>
      <c r="EE183" s="124"/>
      <c r="EF183" s="124"/>
      <c r="EG183" s="124"/>
      <c r="EH183" s="124"/>
      <c r="EI183" s="124"/>
      <c r="EJ183" s="124"/>
      <c r="EK183" s="124"/>
      <c r="EL183" s="124"/>
      <c r="EM183" s="124"/>
      <c r="EN183" s="124"/>
      <c r="EO183" s="124"/>
      <c r="EP183" s="124"/>
      <c r="EQ183" s="124"/>
      <c r="ER183" s="124"/>
      <c r="ES183" s="124"/>
      <c r="ET183" s="124"/>
      <c r="EU183" s="124"/>
      <c r="EV183" s="124"/>
      <c r="EW183" s="124"/>
      <c r="EX183" s="124"/>
      <c r="EY183" s="124"/>
      <c r="EZ183" s="124"/>
      <c r="FA183" s="124"/>
      <c r="FB183" s="124"/>
      <c r="FC183" s="124"/>
      <c r="FD183" s="124"/>
      <c r="FE183" s="124"/>
    </row>
    <row r="184" spans="1:161" x14ac:dyDescent="0.2">
      <c r="A184" s="124"/>
      <c r="B184" s="124"/>
      <c r="C184" s="124"/>
      <c r="D184" s="124"/>
      <c r="E184" s="124"/>
      <c r="F184" s="124"/>
      <c r="G184" s="124"/>
      <c r="H184" s="124"/>
      <c r="I184" s="124"/>
      <c r="J184" s="124"/>
      <c r="K184" s="124"/>
      <c r="L184" s="124"/>
      <c r="M184" s="124"/>
      <c r="N184" s="124"/>
      <c r="O184" s="124"/>
      <c r="P184" s="124"/>
      <c r="CT184" s="124"/>
      <c r="CU184" s="124"/>
      <c r="CV184" s="124"/>
      <c r="CW184" s="124"/>
      <c r="CX184" s="124"/>
      <c r="CY184" s="124"/>
      <c r="CZ184" s="124"/>
      <c r="DA184" s="124"/>
      <c r="DB184" s="124"/>
      <c r="DC184" s="124"/>
      <c r="DD184" s="124"/>
      <c r="DE184" s="124"/>
      <c r="DF184" s="124"/>
      <c r="DG184" s="124"/>
      <c r="DH184" s="124"/>
      <c r="DI184" s="124"/>
      <c r="DJ184" s="124"/>
      <c r="DK184" s="124"/>
      <c r="DL184" s="124"/>
      <c r="DM184" s="124"/>
      <c r="DN184" s="124"/>
      <c r="DO184" s="124"/>
      <c r="DP184" s="124"/>
      <c r="DQ184" s="124"/>
      <c r="DR184" s="124"/>
      <c r="DS184" s="124"/>
      <c r="DT184" s="124"/>
      <c r="DU184" s="124"/>
      <c r="DV184" s="124"/>
      <c r="DW184" s="124"/>
      <c r="DX184" s="124"/>
      <c r="DY184" s="124"/>
      <c r="DZ184" s="124"/>
      <c r="EA184" s="124"/>
      <c r="EB184" s="124"/>
      <c r="EC184" s="124"/>
      <c r="ED184" s="124"/>
      <c r="EE184" s="124"/>
      <c r="EF184" s="124"/>
      <c r="EG184" s="124"/>
      <c r="EH184" s="124"/>
      <c r="EI184" s="124"/>
      <c r="EJ184" s="124"/>
      <c r="EK184" s="124"/>
      <c r="EL184" s="124"/>
      <c r="EM184" s="124"/>
      <c r="EN184" s="124"/>
      <c r="EO184" s="124"/>
      <c r="EP184" s="124"/>
      <c r="EQ184" s="124"/>
      <c r="ER184" s="124"/>
      <c r="ES184" s="124"/>
      <c r="ET184" s="124"/>
      <c r="EU184" s="124"/>
      <c r="EV184" s="124"/>
      <c r="EW184" s="124"/>
      <c r="EX184" s="124"/>
      <c r="EY184" s="124"/>
      <c r="EZ184" s="124"/>
      <c r="FA184" s="124"/>
      <c r="FB184" s="124"/>
      <c r="FC184" s="124"/>
      <c r="FD184" s="124"/>
      <c r="FE184" s="124"/>
    </row>
    <row r="185" spans="1:161" x14ac:dyDescent="0.2">
      <c r="A185" s="124"/>
      <c r="B185" s="124"/>
      <c r="C185" s="124"/>
      <c r="D185" s="124"/>
      <c r="E185" s="124"/>
      <c r="F185" s="124"/>
      <c r="G185" s="124"/>
      <c r="H185" s="124"/>
      <c r="I185" s="124"/>
      <c r="J185" s="124"/>
      <c r="K185" s="124"/>
      <c r="L185" s="124"/>
      <c r="M185" s="124"/>
      <c r="N185" s="124"/>
      <c r="O185" s="124"/>
      <c r="P185" s="124"/>
      <c r="CT185" s="124"/>
      <c r="CU185" s="124"/>
      <c r="CV185" s="124"/>
      <c r="CW185" s="124"/>
      <c r="CX185" s="124"/>
      <c r="CY185" s="124"/>
      <c r="CZ185" s="124"/>
      <c r="DA185" s="124"/>
      <c r="DB185" s="124"/>
      <c r="DC185" s="124"/>
      <c r="DD185" s="124"/>
      <c r="DE185" s="124"/>
      <c r="DF185" s="124"/>
      <c r="DG185" s="124"/>
      <c r="DH185" s="124"/>
      <c r="DI185" s="124"/>
      <c r="DJ185" s="124"/>
      <c r="DK185" s="124"/>
      <c r="DL185" s="124"/>
      <c r="DM185" s="124"/>
      <c r="DN185" s="124"/>
      <c r="DO185" s="124"/>
      <c r="DP185" s="124"/>
      <c r="DQ185" s="124"/>
      <c r="DR185" s="124"/>
      <c r="DS185" s="124"/>
      <c r="DT185" s="124"/>
      <c r="DU185" s="124"/>
      <c r="DV185" s="124"/>
      <c r="DW185" s="124"/>
      <c r="DX185" s="124"/>
      <c r="DY185" s="124"/>
      <c r="DZ185" s="124"/>
      <c r="EA185" s="124"/>
      <c r="EB185" s="124"/>
      <c r="EC185" s="124"/>
      <c r="ED185" s="124"/>
      <c r="EE185" s="124"/>
      <c r="EF185" s="124"/>
      <c r="EG185" s="124"/>
      <c r="EH185" s="124"/>
      <c r="EI185" s="124"/>
      <c r="EJ185" s="124"/>
      <c r="EK185" s="124"/>
      <c r="EL185" s="124"/>
      <c r="EM185" s="124"/>
      <c r="EN185" s="124"/>
      <c r="EO185" s="124"/>
      <c r="EP185" s="124"/>
      <c r="EQ185" s="124"/>
      <c r="ER185" s="124"/>
      <c r="ES185" s="124"/>
      <c r="ET185" s="124"/>
      <c r="EU185" s="124"/>
      <c r="EV185" s="124"/>
      <c r="EW185" s="124"/>
      <c r="EX185" s="124"/>
      <c r="EY185" s="124"/>
      <c r="EZ185" s="124"/>
      <c r="FA185" s="124"/>
      <c r="FB185" s="124"/>
      <c r="FC185" s="124"/>
      <c r="FD185" s="124"/>
      <c r="FE185" s="124"/>
    </row>
    <row r="186" spans="1:161" x14ac:dyDescent="0.2">
      <c r="A186" s="124"/>
      <c r="B186" s="124"/>
      <c r="C186" s="124"/>
      <c r="D186" s="124"/>
      <c r="E186" s="124"/>
      <c r="F186" s="124"/>
      <c r="G186" s="124"/>
      <c r="H186" s="124"/>
      <c r="I186" s="124"/>
      <c r="J186" s="124"/>
      <c r="K186" s="124"/>
      <c r="L186" s="124"/>
      <c r="M186" s="124"/>
      <c r="N186" s="124"/>
      <c r="O186" s="124"/>
      <c r="P186" s="124"/>
      <c r="CT186" s="124"/>
      <c r="CU186" s="124"/>
      <c r="CV186" s="124"/>
      <c r="CW186" s="124"/>
      <c r="CX186" s="124"/>
      <c r="CY186" s="124"/>
      <c r="CZ186" s="124"/>
      <c r="DA186" s="124"/>
      <c r="DB186" s="124"/>
      <c r="DC186" s="124"/>
      <c r="DD186" s="124"/>
      <c r="DE186" s="124"/>
      <c r="DF186" s="124"/>
      <c r="DG186" s="124"/>
      <c r="DH186" s="124"/>
      <c r="DI186" s="124"/>
      <c r="DJ186" s="124"/>
      <c r="DK186" s="124"/>
      <c r="DL186" s="124"/>
      <c r="DM186" s="124"/>
      <c r="DN186" s="124"/>
      <c r="DO186" s="124"/>
      <c r="DP186" s="124"/>
      <c r="DQ186" s="124"/>
      <c r="DR186" s="124"/>
      <c r="DS186" s="124"/>
      <c r="DT186" s="124"/>
      <c r="DU186" s="124"/>
      <c r="DV186" s="124"/>
      <c r="DW186" s="124"/>
      <c r="DX186" s="124"/>
      <c r="DY186" s="124"/>
      <c r="DZ186" s="124"/>
      <c r="EA186" s="124"/>
      <c r="EB186" s="124"/>
      <c r="EC186" s="124"/>
      <c r="ED186" s="124"/>
      <c r="EE186" s="124"/>
      <c r="EF186" s="124"/>
      <c r="EG186" s="124"/>
      <c r="EH186" s="124"/>
      <c r="EI186" s="124"/>
      <c r="EJ186" s="124"/>
      <c r="EK186" s="124"/>
      <c r="EL186" s="124"/>
      <c r="EM186" s="124"/>
      <c r="EN186" s="124"/>
      <c r="EO186" s="124"/>
      <c r="EP186" s="124"/>
      <c r="EQ186" s="124"/>
      <c r="ER186" s="124"/>
      <c r="ES186" s="124"/>
      <c r="ET186" s="124"/>
      <c r="EU186" s="124"/>
      <c r="EV186" s="124"/>
      <c r="EW186" s="124"/>
      <c r="EX186" s="124"/>
      <c r="EY186" s="124"/>
      <c r="EZ186" s="124"/>
      <c r="FA186" s="124"/>
      <c r="FB186" s="124"/>
      <c r="FC186" s="124"/>
      <c r="FD186" s="124"/>
      <c r="FE186" s="124"/>
    </row>
    <row r="187" spans="1:161" x14ac:dyDescent="0.2">
      <c r="A187" s="124"/>
      <c r="B187" s="124"/>
      <c r="C187" s="124"/>
      <c r="D187" s="124"/>
      <c r="E187" s="124"/>
      <c r="F187" s="124"/>
      <c r="G187" s="124"/>
      <c r="H187" s="124"/>
      <c r="I187" s="124"/>
      <c r="J187" s="124"/>
      <c r="K187" s="124"/>
      <c r="L187" s="124"/>
      <c r="M187" s="124"/>
      <c r="N187" s="124"/>
      <c r="O187" s="124"/>
      <c r="P187" s="124"/>
      <c r="CT187" s="124"/>
      <c r="CU187" s="124"/>
      <c r="CV187" s="124"/>
      <c r="CW187" s="124"/>
      <c r="CX187" s="124"/>
      <c r="CY187" s="124"/>
      <c r="CZ187" s="124"/>
      <c r="DA187" s="124"/>
      <c r="DB187" s="124"/>
      <c r="DC187" s="124"/>
      <c r="DD187" s="124"/>
      <c r="DE187" s="124"/>
      <c r="DF187" s="124"/>
      <c r="DG187" s="124"/>
      <c r="DH187" s="124"/>
      <c r="DI187" s="124"/>
      <c r="DJ187" s="124"/>
      <c r="DK187" s="124"/>
      <c r="DL187" s="124"/>
      <c r="DM187" s="124"/>
      <c r="DN187" s="124"/>
      <c r="DO187" s="124"/>
      <c r="DP187" s="124"/>
      <c r="DQ187" s="124"/>
      <c r="DR187" s="124"/>
      <c r="DS187" s="124"/>
      <c r="DT187" s="124"/>
      <c r="DU187" s="124"/>
      <c r="DV187" s="124"/>
      <c r="DW187" s="124"/>
      <c r="DX187" s="124"/>
      <c r="DY187" s="124"/>
      <c r="DZ187" s="124"/>
      <c r="EA187" s="124"/>
      <c r="EB187" s="124"/>
      <c r="EC187" s="124"/>
      <c r="ED187" s="124"/>
      <c r="EE187" s="124"/>
      <c r="EF187" s="124"/>
      <c r="EG187" s="124"/>
      <c r="EH187" s="124"/>
      <c r="EI187" s="124"/>
      <c r="EJ187" s="124"/>
      <c r="EK187" s="124"/>
      <c r="EL187" s="124"/>
      <c r="EM187" s="124"/>
      <c r="EN187" s="124"/>
      <c r="EO187" s="124"/>
      <c r="EP187" s="124"/>
      <c r="EQ187" s="124"/>
      <c r="ER187" s="124"/>
      <c r="ES187" s="124"/>
      <c r="ET187" s="124"/>
      <c r="EU187" s="124"/>
      <c r="EV187" s="124"/>
      <c r="EW187" s="124"/>
      <c r="EX187" s="124"/>
      <c r="EY187" s="124"/>
      <c r="EZ187" s="124"/>
      <c r="FA187" s="124"/>
      <c r="FB187" s="124"/>
      <c r="FC187" s="124"/>
      <c r="FD187" s="124"/>
      <c r="FE187" s="124"/>
    </row>
    <row r="188" spans="1:161" x14ac:dyDescent="0.2">
      <c r="A188" s="124"/>
      <c r="B188" s="124"/>
      <c r="C188" s="124"/>
      <c r="D188" s="124"/>
      <c r="E188" s="124"/>
      <c r="F188" s="124"/>
      <c r="G188" s="124"/>
      <c r="H188" s="124"/>
      <c r="I188" s="124"/>
      <c r="J188" s="124"/>
      <c r="K188" s="124"/>
      <c r="L188" s="124"/>
      <c r="M188" s="124"/>
      <c r="N188" s="124"/>
      <c r="O188" s="124"/>
      <c r="P188" s="124"/>
      <c r="CT188" s="124"/>
      <c r="CU188" s="124"/>
      <c r="CV188" s="124"/>
      <c r="CW188" s="124"/>
      <c r="CX188" s="124"/>
      <c r="CY188" s="124"/>
      <c r="CZ188" s="124"/>
      <c r="DA188" s="124"/>
      <c r="DB188" s="124"/>
      <c r="DC188" s="124"/>
      <c r="DD188" s="124"/>
      <c r="DE188" s="124"/>
      <c r="DF188" s="124"/>
      <c r="DG188" s="124"/>
      <c r="DH188" s="124"/>
      <c r="DI188" s="124"/>
      <c r="DJ188" s="124"/>
      <c r="DK188" s="124"/>
      <c r="DL188" s="124"/>
      <c r="DM188" s="124"/>
      <c r="DN188" s="124"/>
      <c r="DO188" s="124"/>
      <c r="DP188" s="124"/>
      <c r="DQ188" s="124"/>
      <c r="DR188" s="124"/>
      <c r="DS188" s="124"/>
      <c r="DT188" s="124"/>
      <c r="DU188" s="124"/>
      <c r="DV188" s="124"/>
      <c r="DW188" s="124"/>
      <c r="DX188" s="124"/>
      <c r="DY188" s="124"/>
      <c r="DZ188" s="124"/>
      <c r="EA188" s="124"/>
      <c r="EB188" s="124"/>
      <c r="EC188" s="124"/>
      <c r="ED188" s="124"/>
      <c r="EE188" s="124"/>
      <c r="EF188" s="124"/>
      <c r="EG188" s="124"/>
      <c r="EH188" s="124"/>
      <c r="EI188" s="124"/>
      <c r="EJ188" s="124"/>
      <c r="EK188" s="124"/>
      <c r="EL188" s="124"/>
      <c r="EM188" s="124"/>
      <c r="EN188" s="124"/>
      <c r="EO188" s="124"/>
      <c r="EP188" s="124"/>
      <c r="EQ188" s="124"/>
      <c r="ER188" s="124"/>
      <c r="ES188" s="124"/>
      <c r="ET188" s="124"/>
      <c r="EU188" s="124"/>
      <c r="EV188" s="124"/>
      <c r="EW188" s="124"/>
      <c r="EX188" s="124"/>
      <c r="EY188" s="124"/>
      <c r="EZ188" s="124"/>
      <c r="FA188" s="124"/>
      <c r="FB188" s="124"/>
      <c r="FC188" s="124"/>
      <c r="FD188" s="124"/>
      <c r="FE188" s="124"/>
    </row>
    <row r="189" spans="1:161" x14ac:dyDescent="0.2">
      <c r="A189" s="124"/>
      <c r="B189" s="124"/>
      <c r="C189" s="124"/>
      <c r="D189" s="124"/>
      <c r="E189" s="124"/>
      <c r="F189" s="124"/>
      <c r="G189" s="124"/>
      <c r="H189" s="124"/>
      <c r="I189" s="124"/>
      <c r="J189" s="124"/>
      <c r="K189" s="124"/>
      <c r="L189" s="124"/>
      <c r="M189" s="124"/>
      <c r="N189" s="124"/>
      <c r="O189" s="124"/>
      <c r="P189" s="124"/>
      <c r="CT189" s="124"/>
      <c r="CU189" s="124"/>
      <c r="CV189" s="124"/>
      <c r="CW189" s="124"/>
      <c r="CX189" s="124"/>
      <c r="CY189" s="124"/>
      <c r="CZ189" s="124"/>
      <c r="DA189" s="124"/>
      <c r="DB189" s="124"/>
      <c r="DC189" s="124"/>
      <c r="DD189" s="124"/>
      <c r="DE189" s="124"/>
      <c r="DF189" s="124"/>
      <c r="DG189" s="124"/>
      <c r="DH189" s="124"/>
      <c r="DI189" s="124"/>
      <c r="DJ189" s="124"/>
      <c r="DK189" s="124"/>
      <c r="DL189" s="124"/>
      <c r="DM189" s="124"/>
      <c r="DN189" s="124"/>
      <c r="DO189" s="124"/>
      <c r="DP189" s="124"/>
      <c r="DQ189" s="124"/>
      <c r="DR189" s="124"/>
      <c r="DS189" s="124"/>
      <c r="DT189" s="124"/>
      <c r="DU189" s="124"/>
      <c r="DV189" s="124"/>
      <c r="DW189" s="124"/>
      <c r="DX189" s="124"/>
      <c r="DY189" s="124"/>
      <c r="DZ189" s="124"/>
      <c r="EA189" s="124"/>
      <c r="EB189" s="124"/>
      <c r="EC189" s="124"/>
      <c r="ED189" s="124"/>
      <c r="EE189" s="124"/>
      <c r="EF189" s="124"/>
      <c r="EG189" s="124"/>
      <c r="EH189" s="124"/>
      <c r="EI189" s="124"/>
      <c r="EJ189" s="124"/>
      <c r="EK189" s="124"/>
      <c r="EL189" s="124"/>
      <c r="EM189" s="124"/>
      <c r="EN189" s="124"/>
      <c r="EO189" s="124"/>
      <c r="EP189" s="124"/>
      <c r="EQ189" s="124"/>
      <c r="ER189" s="124"/>
      <c r="ES189" s="124"/>
      <c r="ET189" s="124"/>
      <c r="EU189" s="124"/>
      <c r="EV189" s="124"/>
      <c r="EW189" s="124"/>
      <c r="EX189" s="124"/>
      <c r="EY189" s="124"/>
      <c r="EZ189" s="124"/>
      <c r="FA189" s="124"/>
      <c r="FB189" s="124"/>
      <c r="FC189" s="124"/>
      <c r="FD189" s="124"/>
      <c r="FE189" s="124"/>
    </row>
    <row r="190" spans="1:161" x14ac:dyDescent="0.2">
      <c r="A190" s="124"/>
      <c r="B190" s="124"/>
      <c r="C190" s="124"/>
      <c r="D190" s="124"/>
      <c r="E190" s="124"/>
      <c r="F190" s="124"/>
      <c r="G190" s="124"/>
      <c r="H190" s="124"/>
      <c r="I190" s="124"/>
      <c r="J190" s="124"/>
      <c r="K190" s="124"/>
      <c r="L190" s="124"/>
      <c r="M190" s="124"/>
      <c r="N190" s="124"/>
      <c r="O190" s="124"/>
      <c r="P190" s="124"/>
      <c r="CT190" s="124"/>
      <c r="CU190" s="124"/>
      <c r="CV190" s="124"/>
      <c r="CW190" s="124"/>
      <c r="CX190" s="124"/>
      <c r="CY190" s="124"/>
      <c r="CZ190" s="124"/>
      <c r="DA190" s="124"/>
      <c r="DB190" s="124"/>
      <c r="DC190" s="124"/>
      <c r="DD190" s="124"/>
      <c r="DE190" s="124"/>
      <c r="DF190" s="124"/>
      <c r="DG190" s="124"/>
      <c r="DH190" s="124"/>
      <c r="DI190" s="124"/>
      <c r="DJ190" s="124"/>
      <c r="DK190" s="124"/>
      <c r="DL190" s="124"/>
      <c r="DM190" s="124"/>
      <c r="DN190" s="124"/>
      <c r="DO190" s="124"/>
      <c r="DP190" s="124"/>
      <c r="DQ190" s="124"/>
      <c r="DR190" s="124"/>
      <c r="DS190" s="124"/>
      <c r="DT190" s="124"/>
      <c r="DU190" s="124"/>
      <c r="DV190" s="124"/>
      <c r="DW190" s="124"/>
      <c r="DX190" s="124"/>
      <c r="DY190" s="124"/>
      <c r="DZ190" s="124"/>
      <c r="EA190" s="124"/>
      <c r="EB190" s="124"/>
      <c r="EC190" s="124"/>
      <c r="ED190" s="124"/>
      <c r="EE190" s="124"/>
      <c r="EF190" s="124"/>
      <c r="EG190" s="124"/>
      <c r="EH190" s="124"/>
      <c r="EI190" s="124"/>
      <c r="EJ190" s="124"/>
      <c r="EK190" s="124"/>
      <c r="EL190" s="124"/>
      <c r="EM190" s="124"/>
      <c r="EN190" s="124"/>
      <c r="EO190" s="124"/>
      <c r="EP190" s="124"/>
      <c r="EQ190" s="124"/>
      <c r="ER190" s="124"/>
      <c r="ES190" s="124"/>
      <c r="ET190" s="124"/>
      <c r="EU190" s="124"/>
      <c r="EV190" s="124"/>
      <c r="EW190" s="124"/>
      <c r="EX190" s="124"/>
      <c r="EY190" s="124"/>
      <c r="EZ190" s="124"/>
      <c r="FA190" s="124"/>
      <c r="FB190" s="124"/>
      <c r="FC190" s="124"/>
      <c r="FD190" s="124"/>
      <c r="FE190" s="124"/>
    </row>
    <row r="191" spans="1:161" x14ac:dyDescent="0.2">
      <c r="A191" s="124"/>
      <c r="B191" s="124"/>
      <c r="C191" s="124"/>
      <c r="D191" s="124"/>
      <c r="E191" s="124"/>
      <c r="F191" s="124"/>
      <c r="G191" s="124"/>
      <c r="H191" s="124"/>
      <c r="I191" s="124"/>
      <c r="J191" s="124"/>
      <c r="K191" s="124"/>
      <c r="L191" s="124"/>
      <c r="M191" s="124"/>
      <c r="N191" s="124"/>
      <c r="O191" s="124"/>
      <c r="P191" s="124"/>
      <c r="CT191" s="124"/>
      <c r="CU191" s="124"/>
      <c r="CV191" s="124"/>
      <c r="CW191" s="124"/>
      <c r="CX191" s="124"/>
      <c r="CY191" s="124"/>
      <c r="CZ191" s="124"/>
      <c r="DA191" s="124"/>
      <c r="DB191" s="124"/>
      <c r="DC191" s="124"/>
      <c r="DD191" s="124"/>
      <c r="DE191" s="124"/>
      <c r="DF191" s="124"/>
      <c r="DG191" s="124"/>
      <c r="DH191" s="124"/>
      <c r="DI191" s="124"/>
      <c r="DJ191" s="124"/>
      <c r="DK191" s="124"/>
      <c r="DL191" s="124"/>
      <c r="DM191" s="124"/>
      <c r="DN191" s="124"/>
      <c r="DO191" s="124"/>
      <c r="DP191" s="124"/>
      <c r="DQ191" s="124"/>
      <c r="DR191" s="124"/>
      <c r="DS191" s="124"/>
      <c r="DT191" s="124"/>
      <c r="DU191" s="124"/>
      <c r="DV191" s="124"/>
      <c r="DW191" s="124"/>
      <c r="DX191" s="124"/>
      <c r="DY191" s="124"/>
      <c r="DZ191" s="124"/>
      <c r="EA191" s="124"/>
      <c r="EB191" s="124"/>
      <c r="EC191" s="124"/>
      <c r="ED191" s="124"/>
      <c r="EE191" s="124"/>
      <c r="EF191" s="124"/>
      <c r="EG191" s="124"/>
      <c r="EH191" s="124"/>
      <c r="EI191" s="124"/>
      <c r="EJ191" s="124"/>
      <c r="EK191" s="124"/>
      <c r="EL191" s="124"/>
      <c r="EM191" s="124"/>
      <c r="EN191" s="124"/>
      <c r="EO191" s="124"/>
      <c r="EP191" s="124"/>
      <c r="EQ191" s="124"/>
      <c r="ER191" s="124"/>
      <c r="ES191" s="124"/>
      <c r="ET191" s="124"/>
      <c r="EU191" s="124"/>
      <c r="EV191" s="124"/>
      <c r="EW191" s="124"/>
      <c r="EX191" s="124"/>
      <c r="EY191" s="124"/>
      <c r="EZ191" s="124"/>
      <c r="FA191" s="124"/>
      <c r="FB191" s="124"/>
      <c r="FC191" s="124"/>
      <c r="FD191" s="124"/>
      <c r="FE191" s="124"/>
    </row>
    <row r="192" spans="1:161" x14ac:dyDescent="0.2">
      <c r="A192" s="124"/>
      <c r="B192" s="124"/>
      <c r="C192" s="124"/>
      <c r="D192" s="124"/>
      <c r="E192" s="124"/>
      <c r="F192" s="124"/>
      <c r="G192" s="124"/>
      <c r="H192" s="124"/>
      <c r="I192" s="124"/>
      <c r="J192" s="124"/>
      <c r="K192" s="124"/>
      <c r="L192" s="124"/>
      <c r="M192" s="124"/>
      <c r="N192" s="124"/>
      <c r="O192" s="124"/>
      <c r="P192" s="124"/>
      <c r="CT192" s="124"/>
      <c r="CU192" s="124"/>
      <c r="CV192" s="124"/>
      <c r="CW192" s="124"/>
      <c r="CX192" s="124"/>
      <c r="CY192" s="124"/>
      <c r="CZ192" s="124"/>
      <c r="DA192" s="124"/>
      <c r="DB192" s="124"/>
      <c r="DC192" s="124"/>
      <c r="DD192" s="124"/>
      <c r="DE192" s="124"/>
      <c r="DF192" s="124"/>
      <c r="DG192" s="124"/>
      <c r="DH192" s="124"/>
      <c r="DI192" s="124"/>
      <c r="DJ192" s="124"/>
      <c r="DK192" s="124"/>
      <c r="DL192" s="124"/>
      <c r="DM192" s="124"/>
      <c r="DN192" s="124"/>
      <c r="DO192" s="124"/>
      <c r="DP192" s="124"/>
      <c r="DQ192" s="124"/>
      <c r="DR192" s="124"/>
      <c r="DS192" s="124"/>
      <c r="DT192" s="124"/>
      <c r="DU192" s="124"/>
      <c r="DV192" s="124"/>
      <c r="DW192" s="124"/>
      <c r="DX192" s="124"/>
      <c r="DY192" s="124"/>
      <c r="DZ192" s="124"/>
      <c r="EA192" s="124"/>
      <c r="EB192" s="124"/>
      <c r="EC192" s="124"/>
      <c r="ED192" s="124"/>
      <c r="EE192" s="124"/>
      <c r="EF192" s="124"/>
      <c r="EG192" s="124"/>
      <c r="EH192" s="124"/>
      <c r="EI192" s="124"/>
      <c r="EJ192" s="124"/>
      <c r="EK192" s="124"/>
      <c r="EL192" s="124"/>
      <c r="EM192" s="124"/>
      <c r="EN192" s="124"/>
      <c r="EO192" s="124"/>
      <c r="EP192" s="124"/>
      <c r="EQ192" s="124"/>
      <c r="ER192" s="124"/>
      <c r="ES192" s="124"/>
      <c r="ET192" s="124"/>
      <c r="EU192" s="124"/>
      <c r="EV192" s="124"/>
      <c r="EW192" s="124"/>
      <c r="EX192" s="124"/>
      <c r="EY192" s="124"/>
      <c r="EZ192" s="124"/>
      <c r="FA192" s="124"/>
      <c r="FB192" s="124"/>
      <c r="FC192" s="124"/>
      <c r="FD192" s="124"/>
      <c r="FE192" s="124"/>
    </row>
    <row r="193" spans="1:161" x14ac:dyDescent="0.2">
      <c r="A193" s="124"/>
      <c r="B193" s="124"/>
      <c r="C193" s="124"/>
      <c r="D193" s="124"/>
      <c r="E193" s="124"/>
      <c r="F193" s="124"/>
      <c r="G193" s="124"/>
      <c r="H193" s="124"/>
      <c r="I193" s="124"/>
      <c r="J193" s="124"/>
      <c r="K193" s="124"/>
      <c r="L193" s="124"/>
      <c r="M193" s="124"/>
      <c r="N193" s="124"/>
      <c r="O193" s="124"/>
      <c r="P193" s="124"/>
      <c r="CT193" s="124"/>
      <c r="CU193" s="124"/>
      <c r="CV193" s="124"/>
      <c r="CW193" s="124"/>
      <c r="CX193" s="124"/>
      <c r="CY193" s="124"/>
      <c r="CZ193" s="124"/>
      <c r="DA193" s="124"/>
      <c r="DB193" s="124"/>
      <c r="DC193" s="124"/>
      <c r="DD193" s="124"/>
      <c r="DE193" s="124"/>
      <c r="DF193" s="124"/>
      <c r="DG193" s="124"/>
      <c r="DH193" s="124"/>
      <c r="DI193" s="124"/>
      <c r="DJ193" s="124"/>
      <c r="DK193" s="124"/>
      <c r="DL193" s="124"/>
      <c r="DM193" s="124"/>
      <c r="DN193" s="124"/>
      <c r="DO193" s="124"/>
      <c r="DP193" s="124"/>
      <c r="DQ193" s="124"/>
      <c r="DR193" s="124"/>
      <c r="DS193" s="124"/>
      <c r="DT193" s="124"/>
      <c r="DU193" s="124"/>
      <c r="DV193" s="124"/>
      <c r="DW193" s="124"/>
      <c r="DX193" s="124"/>
      <c r="DY193" s="124"/>
      <c r="DZ193" s="124"/>
      <c r="EA193" s="124"/>
      <c r="EB193" s="124"/>
      <c r="EC193" s="124"/>
      <c r="ED193" s="124"/>
      <c r="EE193" s="124"/>
      <c r="EF193" s="124"/>
      <c r="EG193" s="124"/>
      <c r="EH193" s="124"/>
      <c r="EI193" s="124"/>
      <c r="EJ193" s="124"/>
      <c r="EK193" s="124"/>
      <c r="EL193" s="124"/>
      <c r="EM193" s="124"/>
      <c r="EN193" s="124"/>
      <c r="EO193" s="124"/>
      <c r="EP193" s="124"/>
      <c r="EQ193" s="124"/>
      <c r="ER193" s="124"/>
      <c r="ES193" s="124"/>
      <c r="ET193" s="124"/>
      <c r="EU193" s="124"/>
      <c r="EV193" s="124"/>
      <c r="EW193" s="124"/>
      <c r="EX193" s="124"/>
      <c r="EY193" s="124"/>
      <c r="EZ193" s="124"/>
      <c r="FA193" s="124"/>
      <c r="FB193" s="124"/>
      <c r="FC193" s="124"/>
      <c r="FD193" s="124"/>
      <c r="FE193" s="124"/>
    </row>
    <row r="194" spans="1:161" x14ac:dyDescent="0.2">
      <c r="A194" s="124"/>
      <c r="B194" s="124"/>
      <c r="C194" s="124"/>
      <c r="D194" s="124"/>
      <c r="E194" s="124"/>
      <c r="F194" s="124"/>
      <c r="G194" s="124"/>
      <c r="H194" s="124"/>
      <c r="I194" s="124"/>
      <c r="J194" s="124"/>
      <c r="K194" s="124"/>
      <c r="L194" s="124"/>
      <c r="M194" s="124"/>
      <c r="N194" s="124"/>
      <c r="O194" s="124"/>
      <c r="P194" s="124"/>
      <c r="CT194" s="124"/>
      <c r="CU194" s="124"/>
      <c r="CV194" s="124"/>
      <c r="CW194" s="124"/>
      <c r="CX194" s="124"/>
      <c r="CY194" s="124"/>
      <c r="CZ194" s="124"/>
      <c r="DA194" s="124"/>
      <c r="DB194" s="124"/>
      <c r="DC194" s="124"/>
      <c r="DD194" s="124"/>
      <c r="DE194" s="124"/>
      <c r="DF194" s="124"/>
      <c r="DG194" s="124"/>
      <c r="DH194" s="124"/>
      <c r="DI194" s="124"/>
      <c r="DJ194" s="124"/>
      <c r="DK194" s="124"/>
      <c r="DL194" s="124"/>
      <c r="DM194" s="124"/>
      <c r="DN194" s="124"/>
      <c r="DO194" s="124"/>
      <c r="DP194" s="124"/>
      <c r="DQ194" s="124"/>
      <c r="DR194" s="124"/>
      <c r="DS194" s="124"/>
      <c r="DT194" s="124"/>
      <c r="DU194" s="124"/>
      <c r="DV194" s="124"/>
      <c r="DW194" s="124"/>
      <c r="DX194" s="124"/>
      <c r="DY194" s="124"/>
      <c r="DZ194" s="124"/>
      <c r="EA194" s="124"/>
      <c r="EB194" s="124"/>
      <c r="EC194" s="124"/>
      <c r="ED194" s="124"/>
      <c r="EE194" s="124"/>
      <c r="EF194" s="124"/>
      <c r="EG194" s="124"/>
      <c r="EH194" s="124"/>
      <c r="EI194" s="124"/>
      <c r="EJ194" s="124"/>
      <c r="EK194" s="124"/>
      <c r="EL194" s="124"/>
      <c r="EM194" s="124"/>
      <c r="EN194" s="124"/>
      <c r="EO194" s="124"/>
      <c r="EP194" s="124"/>
      <c r="EQ194" s="124"/>
      <c r="ER194" s="124"/>
      <c r="ES194" s="124"/>
      <c r="ET194" s="124"/>
      <c r="EU194" s="124"/>
      <c r="EV194" s="124"/>
      <c r="EW194" s="124"/>
      <c r="EX194" s="124"/>
      <c r="EY194" s="124"/>
      <c r="EZ194" s="124"/>
      <c r="FA194" s="124"/>
      <c r="FB194" s="124"/>
      <c r="FC194" s="124"/>
      <c r="FD194" s="124"/>
      <c r="FE194" s="124"/>
    </row>
    <row r="195" spans="1:161" x14ac:dyDescent="0.2">
      <c r="A195" s="124"/>
      <c r="B195" s="124"/>
      <c r="C195" s="124"/>
      <c r="D195" s="124"/>
      <c r="E195" s="124"/>
      <c r="F195" s="124"/>
      <c r="G195" s="124"/>
      <c r="H195" s="124"/>
      <c r="I195" s="124"/>
      <c r="J195" s="124"/>
      <c r="K195" s="124"/>
      <c r="L195" s="124"/>
      <c r="M195" s="124"/>
      <c r="N195" s="124"/>
      <c r="O195" s="124"/>
      <c r="P195" s="124"/>
      <c r="CT195" s="124"/>
      <c r="CU195" s="124"/>
      <c r="CV195" s="124"/>
      <c r="CW195" s="124"/>
      <c r="CX195" s="124"/>
      <c r="CY195" s="124"/>
      <c r="CZ195" s="124"/>
      <c r="DA195" s="124"/>
      <c r="DB195" s="124"/>
      <c r="DC195" s="124"/>
      <c r="DD195" s="124"/>
      <c r="DE195" s="124"/>
      <c r="DF195" s="124"/>
      <c r="DG195" s="124"/>
      <c r="DH195" s="124"/>
      <c r="DI195" s="124"/>
      <c r="DJ195" s="124"/>
      <c r="DK195" s="124"/>
      <c r="DL195" s="124"/>
      <c r="DM195" s="124"/>
      <c r="DN195" s="124"/>
      <c r="DO195" s="124"/>
      <c r="DP195" s="124"/>
      <c r="DQ195" s="124"/>
      <c r="DR195" s="124"/>
      <c r="DS195" s="124"/>
      <c r="DT195" s="124"/>
      <c r="DU195" s="124"/>
      <c r="DV195" s="124"/>
      <c r="DW195" s="124"/>
      <c r="DX195" s="124"/>
      <c r="DY195" s="124"/>
      <c r="DZ195" s="124"/>
      <c r="EA195" s="124"/>
      <c r="EB195" s="124"/>
      <c r="EC195" s="124"/>
      <c r="ED195" s="124"/>
      <c r="EE195" s="124"/>
      <c r="EF195" s="124"/>
      <c r="EG195" s="124"/>
      <c r="EH195" s="124"/>
      <c r="EI195" s="124"/>
      <c r="EJ195" s="124"/>
      <c r="EK195" s="124"/>
      <c r="EL195" s="124"/>
      <c r="EM195" s="124"/>
      <c r="EN195" s="124"/>
      <c r="EO195" s="124"/>
      <c r="EP195" s="124"/>
      <c r="EQ195" s="124"/>
      <c r="ER195" s="124"/>
      <c r="ES195" s="124"/>
      <c r="ET195" s="124"/>
      <c r="EU195" s="124"/>
      <c r="EV195" s="124"/>
      <c r="EW195" s="124"/>
      <c r="EX195" s="124"/>
      <c r="EY195" s="124"/>
      <c r="EZ195" s="124"/>
      <c r="FA195" s="124"/>
      <c r="FB195" s="124"/>
      <c r="FC195" s="124"/>
      <c r="FD195" s="124"/>
      <c r="FE195" s="124"/>
    </row>
    <row r="196" spans="1:161" x14ac:dyDescent="0.2">
      <c r="A196" s="124"/>
      <c r="B196" s="124"/>
      <c r="C196" s="124"/>
      <c r="D196" s="124"/>
      <c r="E196" s="124"/>
      <c r="F196" s="124"/>
      <c r="G196" s="124"/>
      <c r="H196" s="124"/>
      <c r="I196" s="124"/>
      <c r="J196" s="124"/>
      <c r="K196" s="124"/>
      <c r="L196" s="124"/>
      <c r="M196" s="124"/>
      <c r="N196" s="124"/>
      <c r="O196" s="124"/>
      <c r="P196" s="124"/>
      <c r="CT196" s="124"/>
      <c r="CU196" s="124"/>
      <c r="CV196" s="124"/>
      <c r="CW196" s="124"/>
      <c r="CX196" s="124"/>
      <c r="CY196" s="124"/>
      <c r="CZ196" s="124"/>
      <c r="DA196" s="124"/>
      <c r="DB196" s="124"/>
      <c r="DC196" s="124"/>
      <c r="DD196" s="124"/>
      <c r="DE196" s="124"/>
      <c r="DF196" s="124"/>
      <c r="DG196" s="124"/>
      <c r="DH196" s="124"/>
      <c r="DI196" s="124"/>
      <c r="DJ196" s="124"/>
      <c r="DK196" s="124"/>
      <c r="DL196" s="124"/>
      <c r="DM196" s="124"/>
      <c r="DN196" s="124"/>
      <c r="DO196" s="124"/>
      <c r="DP196" s="124"/>
      <c r="DQ196" s="124"/>
      <c r="DR196" s="124"/>
      <c r="DS196" s="124"/>
      <c r="DT196" s="124"/>
      <c r="DU196" s="124"/>
      <c r="DV196" s="124"/>
      <c r="DW196" s="124"/>
      <c r="DX196" s="124"/>
      <c r="DY196" s="124"/>
      <c r="DZ196" s="124"/>
      <c r="EA196" s="124"/>
      <c r="EB196" s="124"/>
      <c r="EC196" s="124"/>
      <c r="ED196" s="124"/>
      <c r="EE196" s="124"/>
      <c r="EF196" s="124"/>
      <c r="EG196" s="124"/>
      <c r="EH196" s="124"/>
      <c r="EI196" s="124"/>
      <c r="EJ196" s="124"/>
      <c r="EK196" s="124"/>
      <c r="EL196" s="124"/>
      <c r="EM196" s="124"/>
      <c r="EN196" s="124"/>
      <c r="EO196" s="124"/>
      <c r="EP196" s="124"/>
      <c r="EQ196" s="124"/>
      <c r="ER196" s="124"/>
      <c r="ES196" s="124"/>
      <c r="ET196" s="124"/>
      <c r="EU196" s="124"/>
      <c r="EV196" s="124"/>
      <c r="EW196" s="124"/>
      <c r="EX196" s="124"/>
      <c r="EY196" s="124"/>
      <c r="EZ196" s="124"/>
      <c r="FA196" s="124"/>
      <c r="FB196" s="124"/>
      <c r="FC196" s="124"/>
      <c r="FD196" s="124"/>
      <c r="FE196" s="124"/>
    </row>
    <row r="197" spans="1:161" x14ac:dyDescent="0.2">
      <c r="A197" s="124"/>
      <c r="B197" s="124"/>
      <c r="C197" s="124"/>
      <c r="D197" s="124"/>
      <c r="E197" s="124"/>
      <c r="F197" s="124"/>
      <c r="G197" s="124"/>
      <c r="H197" s="124"/>
      <c r="I197" s="124"/>
      <c r="J197" s="124"/>
      <c r="K197" s="124"/>
      <c r="L197" s="124"/>
      <c r="M197" s="124"/>
      <c r="N197" s="124"/>
      <c r="O197" s="124"/>
      <c r="P197" s="124"/>
      <c r="CT197" s="124"/>
      <c r="CU197" s="124"/>
      <c r="CV197" s="124"/>
      <c r="CW197" s="124"/>
      <c r="CX197" s="124"/>
      <c r="CY197" s="124"/>
      <c r="CZ197" s="124"/>
      <c r="DA197" s="124"/>
      <c r="DB197" s="124"/>
      <c r="DC197" s="124"/>
      <c r="DD197" s="124"/>
      <c r="DE197" s="124"/>
      <c r="DF197" s="124"/>
      <c r="DG197" s="124"/>
      <c r="DH197" s="124"/>
      <c r="DI197" s="124"/>
      <c r="DJ197" s="124"/>
      <c r="DK197" s="124"/>
      <c r="DL197" s="124"/>
      <c r="DM197" s="124"/>
      <c r="DN197" s="124"/>
      <c r="DO197" s="124"/>
      <c r="DP197" s="124"/>
      <c r="DQ197" s="124"/>
      <c r="DR197" s="124"/>
      <c r="DS197" s="124"/>
      <c r="DT197" s="124"/>
      <c r="DU197" s="124"/>
      <c r="DV197" s="124"/>
      <c r="DW197" s="124"/>
      <c r="DX197" s="124"/>
      <c r="DY197" s="124"/>
      <c r="DZ197" s="124"/>
      <c r="EA197" s="124"/>
      <c r="EB197" s="124"/>
      <c r="EC197" s="124"/>
      <c r="ED197" s="124"/>
      <c r="EE197" s="124"/>
      <c r="EF197" s="124"/>
      <c r="EG197" s="124"/>
      <c r="EH197" s="124"/>
      <c r="EI197" s="124"/>
      <c r="EJ197" s="124"/>
      <c r="EK197" s="124"/>
      <c r="EL197" s="124"/>
      <c r="EM197" s="124"/>
      <c r="EN197" s="124"/>
      <c r="EO197" s="124"/>
      <c r="EP197" s="124"/>
      <c r="EQ197" s="124"/>
      <c r="ER197" s="124"/>
      <c r="ES197" s="124"/>
      <c r="ET197" s="124"/>
      <c r="EU197" s="124"/>
      <c r="EV197" s="124"/>
      <c r="EW197" s="124"/>
      <c r="EX197" s="124"/>
      <c r="EY197" s="124"/>
      <c r="EZ197" s="124"/>
      <c r="FA197" s="124"/>
      <c r="FB197" s="124"/>
      <c r="FC197" s="124"/>
      <c r="FD197" s="124"/>
      <c r="FE197" s="124"/>
    </row>
  </sheetData>
  <mergeCells count="112">
    <mergeCell ref="CB121:CG123"/>
    <mergeCell ref="CB134:CG135"/>
    <mergeCell ref="CB102:CG103"/>
    <mergeCell ref="CB132:CG133"/>
    <mergeCell ref="CJ47:CO49"/>
    <mergeCell ref="AG47:AL47"/>
    <mergeCell ref="AN47:AR47"/>
    <mergeCell ref="CB47:CG49"/>
    <mergeCell ref="CJ72:CO73"/>
    <mergeCell ref="CJ102:CO103"/>
    <mergeCell ref="CJ104:CO106"/>
    <mergeCell ref="CJ107:CO109"/>
    <mergeCell ref="CJ132:CO133"/>
    <mergeCell ref="CB72:CG72"/>
    <mergeCell ref="CB74:CG75"/>
    <mergeCell ref="CB76:CG77"/>
    <mergeCell ref="CB107:CG107"/>
    <mergeCell ref="CB108:CG110"/>
    <mergeCell ref="AG50:AL50"/>
    <mergeCell ref="AG48:AL48"/>
    <mergeCell ref="AG49:AI49"/>
    <mergeCell ref="CJ74:CO76"/>
    <mergeCell ref="CJ77:CO79"/>
    <mergeCell ref="CB73:CG73"/>
    <mergeCell ref="EM138:ER139"/>
    <mergeCell ref="EM141:ER143"/>
    <mergeCell ref="EM110:ER112"/>
    <mergeCell ref="EE132:EJ133"/>
    <mergeCell ref="EE135:EJ136"/>
    <mergeCell ref="EE138:EJ139"/>
    <mergeCell ref="EM132:ER133"/>
    <mergeCell ref="EM135:ER136"/>
    <mergeCell ref="EE134:EJ134"/>
    <mergeCell ref="EE137:EJ137"/>
    <mergeCell ref="EM83:ER85"/>
    <mergeCell ref="CR75:CW76"/>
    <mergeCell ref="CR77:CW79"/>
    <mergeCell ref="EE102:EJ103"/>
    <mergeCell ref="EE105:EJ105"/>
    <mergeCell ref="EE107:EJ108"/>
    <mergeCell ref="EM102:ER103"/>
    <mergeCell ref="EM105:ER105"/>
    <mergeCell ref="EM107:ER108"/>
    <mergeCell ref="EE75:EJ79"/>
    <mergeCell ref="EE80:EJ81"/>
    <mergeCell ref="EM75:ER79"/>
    <mergeCell ref="EM80:ER81"/>
    <mergeCell ref="EE42:EJ43"/>
    <mergeCell ref="EE45:EJ47"/>
    <mergeCell ref="EE49:EJ50"/>
    <mergeCell ref="EM42:ER43"/>
    <mergeCell ref="EM45:ER47"/>
    <mergeCell ref="EM49:ER50"/>
    <mergeCell ref="EM48:ER48"/>
    <mergeCell ref="CR72:CW72"/>
    <mergeCell ref="CR73:CW74"/>
    <mergeCell ref="CR42:CW43"/>
    <mergeCell ref="CR44:CW45"/>
    <mergeCell ref="CR46:CW46"/>
    <mergeCell ref="CR47:CW49"/>
    <mergeCell ref="CR50:CW52"/>
    <mergeCell ref="EM52:ER54"/>
    <mergeCell ref="EE72:EJ73"/>
    <mergeCell ref="EM72:ER73"/>
    <mergeCell ref="BB45:BG45"/>
    <mergeCell ref="CR151:CW153"/>
    <mergeCell ref="CR132:CW132"/>
    <mergeCell ref="CR134:CW135"/>
    <mergeCell ref="CR137:CW137"/>
    <mergeCell ref="CR138:CW140"/>
    <mergeCell ref="CR142:CW144"/>
    <mergeCell ref="CR102:CW102"/>
    <mergeCell ref="CR104:CW105"/>
    <mergeCell ref="CR106:CW106"/>
    <mergeCell ref="CR107:CW109"/>
    <mergeCell ref="CR110:CW112"/>
    <mergeCell ref="CR121:CW123"/>
    <mergeCell ref="CR80:CW82"/>
    <mergeCell ref="CR83:CW85"/>
    <mergeCell ref="CJ134:CO136"/>
    <mergeCell ref="CJ137:CO139"/>
    <mergeCell ref="CB137:CG137"/>
    <mergeCell ref="CB138:CG140"/>
    <mergeCell ref="CB147:CG149"/>
    <mergeCell ref="CB151:CG153"/>
    <mergeCell ref="CB78:CG80"/>
    <mergeCell ref="CB88:CG90"/>
    <mergeCell ref="CB104:CG105"/>
    <mergeCell ref="BB46:BG46"/>
    <mergeCell ref="B22:G28"/>
    <mergeCell ref="AN42:AS42"/>
    <mergeCell ref="AN43:AS43"/>
    <mergeCell ref="AN44:AS44"/>
    <mergeCell ref="AN45:AS45"/>
    <mergeCell ref="AG45:AL45"/>
    <mergeCell ref="AG46:AL46"/>
    <mergeCell ref="CJ42:CO42"/>
    <mergeCell ref="CJ44:CO46"/>
    <mergeCell ref="AG42:AL42"/>
    <mergeCell ref="AG43:AL43"/>
    <mergeCell ref="AG44:AL44"/>
    <mergeCell ref="AN46:AS46"/>
    <mergeCell ref="AU42:AZ43"/>
    <mergeCell ref="AU44:AZ44"/>
    <mergeCell ref="AU45:AZ45"/>
    <mergeCell ref="AU46:AZ46"/>
    <mergeCell ref="CJ43:CO43"/>
    <mergeCell ref="CB46:CG46"/>
    <mergeCell ref="CB42:CG43"/>
    <mergeCell ref="CB44:CG45"/>
    <mergeCell ref="BB42:BG43"/>
    <mergeCell ref="BB44:BG4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12</vt:i4>
      </vt:variant>
    </vt:vector>
  </HeadingPairs>
  <TitlesOfParts>
    <vt:vector size="17" baseType="lpstr">
      <vt:lpstr>Анкета</vt:lpstr>
      <vt:lpstr>Vstavka</vt:lpstr>
      <vt:lpstr>Support</vt:lpstr>
      <vt:lpstr>БД</vt:lpstr>
      <vt:lpstr>inf</vt:lpstr>
      <vt:lpstr>АВАНС</vt:lpstr>
      <vt:lpstr>Имущество</vt:lpstr>
      <vt:lpstr>Менеджеры</vt:lpstr>
      <vt:lpstr>МРК</vt:lpstr>
      <vt:lpstr>Налогообложение</vt:lpstr>
      <vt:lpstr>Анкета!Область_печати</vt:lpstr>
      <vt:lpstr>ОПФ_ЮЛ</vt:lpstr>
      <vt:lpstr>ОТВЕТЫ</vt:lpstr>
      <vt:lpstr>ПОДПИСАНТ</vt:lpstr>
      <vt:lpstr>ПРОДУКТЫ</vt:lpstr>
      <vt:lpstr>ПРОДУКТЫ1</vt:lpstr>
      <vt:lpstr>СуммаФинансирования</vt:lpstr>
    </vt:vector>
  </TitlesOfParts>
  <Company>Alfa-Bank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u_m00cb</dc:creator>
  <cp:lastModifiedBy>Сергиенко Виктория Вячеславовна</cp:lastModifiedBy>
  <cp:lastPrinted>2016-02-05T12:43:27Z</cp:lastPrinted>
  <dcterms:created xsi:type="dcterms:W3CDTF">2012-01-23T11:18:41Z</dcterms:created>
  <dcterms:modified xsi:type="dcterms:W3CDTF">2019-08-26T15:45:04Z</dcterms:modified>
</cp:coreProperties>
</file>